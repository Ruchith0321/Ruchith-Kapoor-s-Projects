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workbookPr defaultThemeVersion="202300"/>
  <mc:AlternateContent xmlns:mc="http://schemas.openxmlformats.org/markup-compatibility/2006">
    <mc:Choice Requires="x15">
      <x15ac:absPath xmlns:x15ac="http://schemas.microsoft.com/office/spreadsheetml/2010/11/ac" url="https://d.docs.live.net/db5c536a0a031439/"/>
    </mc:Choice>
  </mc:AlternateContent>
  <xr:revisionPtr revIDLastSave="0" documentId="8_{26EE584C-E10C-469F-AE85-AA1E0135A56F}" xr6:coauthVersionLast="47" xr6:coauthVersionMax="47" xr10:uidLastSave="{00000000-0000-0000-0000-000000000000}"/>
  <bookViews>
    <workbookView xWindow="-108" yWindow="-108" windowWidth="23256" windowHeight="12456" activeTab="1" xr2:uid="{DDD3772B-371A-42B1-A338-C7D6FB3E1810}"/>
  </bookViews>
  <sheets>
    <sheet name="SETTING" sheetId="1" r:id="rId1"/>
    <sheet name="Budget planning" sheetId="2" r:id="rId2"/>
    <sheet name="Budget Tracking" sheetId="3" r:id="rId3"/>
    <sheet name="Budget Dashboard" sheetId="4" r:id="rId4"/>
    <sheet name="Calculations" sheetId="5" state="hidden" r:id="rId5"/>
    <sheet name="Dropdown Data" sheetId="6" state="hidden" r:id="rId6"/>
  </sheets>
  <definedNames>
    <definedName name="_is_empty" localSheetId="3">'Budget Dashboard'!$H1</definedName>
    <definedName name="budget" localSheetId="3">'Budget Dashboard'!$L1</definedName>
    <definedName name="budget_range" localSheetId="3">'Budget Dashboard'!$Q1</definedName>
    <definedName name="budget_rank" localSheetId="3">'Budget Dashboard'!$R1</definedName>
    <definedName name="cc_budget" localSheetId="4">Calculations!$Q1</definedName>
    <definedName name="cc_delta" localSheetId="4">Calculations!$R1</definedName>
    <definedName name="cc_in_focus" localSheetId="4">Calculations!$J1</definedName>
    <definedName name="cc_month_number" localSheetId="4">Calculations!$I1</definedName>
    <definedName name="cc_show_remaining_Budget" localSheetId="4">Calculations!$L1</definedName>
    <definedName name="cc_show_type" localSheetId="4">Calculations!$K1</definedName>
    <definedName name="cc_tracked" localSheetId="4">Calculations!$P1</definedName>
    <definedName name="cc_type" localSheetId="4">Calculations!$E1</definedName>
    <definedName name="comb_rank" localSheetId="3">'Budget Dashboard'!$S1</definedName>
    <definedName name="comb_rank_norm" localSheetId="3">'Budget Dashboard'!$U1</definedName>
    <definedName name="comb_rank_range" localSheetId="3">'Budget Dashboard'!$T1</definedName>
    <definedName name="comb_rank_run_range" localSheetId="3">'Budget Dashboard'!$V1</definedName>
    <definedName name="comb_rank_unique" localSheetId="3">'Budget Dashboard'!$W1</definedName>
    <definedName name="current_date">TODAY()</definedName>
    <definedName name="expenses_header_row">ROW(Expenses[[#Headers],[Expenses]])</definedName>
    <definedName name="expenses_max_row">MAX(ROW(Expenses[]))</definedName>
    <definedName name="expenses_min_row">MIN(ROW(Expenses[]))</definedName>
    <definedName name="expenses_total_row">ROW('Budget planning'!$C$41)</definedName>
    <definedName name="header_row_id" localSheetId="3">'Budget Dashboard'!$D1</definedName>
    <definedName name="Income_header_row">ROW(income[[#Headers],[Income]])</definedName>
    <definedName name="Income_max_row">MAX(ROW(income[]))</definedName>
    <definedName name="income_min_row">MIN(ROW(income[]))</definedName>
    <definedName name="income_total_row">ROW('Budget planning'!$C$23)</definedName>
    <definedName name="is_cat" localSheetId="3">'Budget Dashboard'!$F1</definedName>
    <definedName name="is_header" localSheetId="3">'Budget Dashboard'!$E1</definedName>
    <definedName name="is_total" localSheetId="3">'Budget Dashboard'!$G1</definedName>
    <definedName name="item" localSheetId="3">'Budget Dashboard'!$J1</definedName>
    <definedName name="out_budget" localSheetId="3">'Budget Dashboard'!$AA1</definedName>
    <definedName name="out_percentage_completed" localSheetId="3">'Budget Dashboard'!$AB1</definedName>
    <definedName name="out_tracked" localSheetId="3">'Budget Dashboard'!$Z1</definedName>
    <definedName name="row_id" localSheetId="3">'Budget Dashboard'!$C1</definedName>
    <definedName name="savings_header_row">ROW(Savings[[#Headers],[Savings]])</definedName>
    <definedName name="savings_max_row">MAX(ROW(Savings[]))</definedName>
    <definedName name="savings_min_row">MIN(ROW(Savings[]))</definedName>
    <definedName name="Savings_rate_calculation_type">SETTING!$D$23</definedName>
    <definedName name="savings_total_row">ROW('Budget planning'!$C$58)</definedName>
    <definedName name="selected_period">Calculations!$E$18</definedName>
    <definedName name="selected_period_display">Calculations!$E$19</definedName>
    <definedName name="selected_year">Calculations!$E$17</definedName>
    <definedName name="shift_late_income_day">SETTING!$D$19</definedName>
    <definedName name="Shift_late_income_starting_date">SETTING!$D$19</definedName>
    <definedName name="Shift_late_income_starting_day">SETTING!$D$19</definedName>
    <definedName name="Shift_late_income_status">SETTING!$D$17</definedName>
    <definedName name="Shift_name_income_status">SETTING!$D$17</definedName>
    <definedName name="sort_max_row" localSheetId="3">'Budget Dashboard'!$N1</definedName>
    <definedName name="sort_min_row" localSheetId="3">'Budget Dashboard'!$M1</definedName>
    <definedName name="Starting_year">SETTING!$D$8</definedName>
    <definedName name="tracked" localSheetId="3">'Budget Dashboard'!$K1</definedName>
    <definedName name="tracked_range" localSheetId="3">'Budget Dashboard'!$O1</definedName>
    <definedName name="tracked_rank" localSheetId="3">'Budget Dashboard'!$P1</definedName>
    <definedName name="type" localSheetId="3">'Budget Dashboard'!$I1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5" i="3" l="1" a="1"/>
  <c r="H95" i="3" s="1"/>
  <c r="I95" i="3"/>
  <c r="H94" i="3" a="1"/>
  <c r="H94" i="3" s="1"/>
  <c r="I94" i="3"/>
  <c r="H93" i="3" a="1"/>
  <c r="H93" i="3" s="1"/>
  <c r="I93" i="3"/>
  <c r="H92" i="3" a="1"/>
  <c r="H92" i="3" s="1"/>
  <c r="I92" i="3"/>
  <c r="H91" i="3" a="1"/>
  <c r="H91" i="3" s="1"/>
  <c r="I91" i="3"/>
  <c r="H90" i="3" a="1"/>
  <c r="H90" i="3" s="1"/>
  <c r="I90" i="3"/>
  <c r="H89" i="3" a="1"/>
  <c r="H89" i="3" s="1"/>
  <c r="I89" i="3"/>
  <c r="H88" i="3" a="1"/>
  <c r="H88" i="3" s="1"/>
  <c r="I88" i="3"/>
  <c r="H87" i="3" a="1"/>
  <c r="H87" i="3" s="1"/>
  <c r="I87" i="3"/>
  <c r="H86" i="3" a="1"/>
  <c r="H86" i="3" s="1"/>
  <c r="I86" i="3"/>
  <c r="H85" i="3" a="1"/>
  <c r="H85" i="3" s="1"/>
  <c r="I85" i="3"/>
  <c r="H84" i="3" a="1"/>
  <c r="H84" i="3" s="1"/>
  <c r="I84" i="3"/>
  <c r="H83" i="3" a="1"/>
  <c r="H83" i="3" s="1"/>
  <c r="I83" i="3"/>
  <c r="H82" i="3" a="1"/>
  <c r="H82" i="3" s="1"/>
  <c r="I82" i="3"/>
  <c r="H81" i="3" a="1"/>
  <c r="H81" i="3" s="1"/>
  <c r="I81" i="3"/>
  <c r="H80" i="3" a="1"/>
  <c r="H80" i="3" s="1"/>
  <c r="I80" i="3"/>
  <c r="H79" i="3" a="1"/>
  <c r="H79" i="3" s="1"/>
  <c r="I79" i="3"/>
  <c r="H78" i="3" a="1"/>
  <c r="H78" i="3" s="1"/>
  <c r="I78" i="3"/>
  <c r="H77" i="3" a="1"/>
  <c r="H77" i="3" s="1"/>
  <c r="I77" i="3"/>
  <c r="H76" i="3" a="1"/>
  <c r="H76" i="3" s="1"/>
  <c r="I76" i="3"/>
  <c r="H75" i="3" a="1"/>
  <c r="H75" i="3" s="1"/>
  <c r="I75" i="3"/>
  <c r="H74" i="3" a="1"/>
  <c r="H74" i="3" s="1"/>
  <c r="I74" i="3"/>
  <c r="H73" i="3" a="1"/>
  <c r="H73" i="3" s="1"/>
  <c r="I73" i="3"/>
  <c r="H72" i="3" a="1"/>
  <c r="H72" i="3" s="1"/>
  <c r="I72" i="3"/>
  <c r="H71" i="3" a="1"/>
  <c r="H71" i="3" s="1"/>
  <c r="I71" i="3"/>
  <c r="H70" i="3" a="1"/>
  <c r="H70" i="3" s="1"/>
  <c r="I70" i="3"/>
  <c r="H69" i="3" a="1"/>
  <c r="H69" i="3" s="1"/>
  <c r="I69" i="3"/>
  <c r="H68" i="3" a="1"/>
  <c r="H68" i="3" s="1"/>
  <c r="I68" i="3"/>
  <c r="H67" i="3" a="1"/>
  <c r="H67" i="3" s="1"/>
  <c r="I67" i="3"/>
  <c r="H66" i="3" a="1"/>
  <c r="H66" i="3" s="1"/>
  <c r="I66" i="3"/>
  <c r="H65" i="3" a="1"/>
  <c r="H65" i="3" s="1"/>
  <c r="I65" i="3"/>
  <c r="H64" i="3" a="1"/>
  <c r="H64" i="3" s="1"/>
  <c r="I64" i="3"/>
  <c r="H63" i="3" a="1"/>
  <c r="H63" i="3" s="1"/>
  <c r="I63" i="3"/>
  <c r="H62" i="3" a="1"/>
  <c r="H62" i="3" s="1"/>
  <c r="I62" i="3"/>
  <c r="H61" i="3" a="1"/>
  <c r="H61" i="3" s="1"/>
  <c r="I61" i="3"/>
  <c r="H60" i="3" a="1"/>
  <c r="H60" i="3" s="1"/>
  <c r="I60" i="3"/>
  <c r="H59" i="3" a="1"/>
  <c r="H59" i="3" s="1"/>
  <c r="I59" i="3"/>
  <c r="H58" i="3" a="1"/>
  <c r="H58" i="3" s="1"/>
  <c r="I58" i="3"/>
  <c r="H57" i="3" a="1"/>
  <c r="H57" i="3" s="1"/>
  <c r="I57" i="3"/>
  <c r="H56" i="3" a="1"/>
  <c r="H56" i="3" s="1"/>
  <c r="I56" i="3"/>
  <c r="H55" i="3" a="1"/>
  <c r="H55" i="3" s="1"/>
  <c r="I55" i="3"/>
  <c r="H54" i="3" a="1"/>
  <c r="H54" i="3" s="1"/>
  <c r="I54" i="3"/>
  <c r="H53" i="3" a="1"/>
  <c r="H53" i="3" s="1"/>
  <c r="I53" i="3"/>
  <c r="Q31" i="2"/>
  <c r="Q32" i="2"/>
  <c r="Q33" i="2"/>
  <c r="Q34" i="2"/>
  <c r="Q35" i="2"/>
  <c r="Q36" i="2"/>
  <c r="Q37" i="2"/>
  <c r="Q38" i="2"/>
  <c r="Q29" i="2"/>
  <c r="Q30" i="2"/>
  <c r="H52" i="3" a="1"/>
  <c r="H52" i="3" s="1"/>
  <c r="I52" i="3"/>
  <c r="H51" i="3" a="1"/>
  <c r="H51" i="3" s="1"/>
  <c r="I51" i="3"/>
  <c r="H50" i="3" a="1"/>
  <c r="H50" i="3" s="1"/>
  <c r="I50" i="3"/>
  <c r="H49" i="3" a="1"/>
  <c r="H49" i="3" s="1"/>
  <c r="I49" i="3"/>
  <c r="H48" i="3" a="1"/>
  <c r="H48" i="3" s="1"/>
  <c r="I48" i="3"/>
  <c r="H47" i="3" a="1"/>
  <c r="H47" i="3" s="1"/>
  <c r="I47" i="3"/>
  <c r="H46" i="3" a="1"/>
  <c r="H46" i="3" s="1"/>
  <c r="I46" i="3"/>
  <c r="H45" i="3" a="1"/>
  <c r="H45" i="3" s="1"/>
  <c r="I45" i="3"/>
  <c r="H44" i="3" a="1"/>
  <c r="H44" i="3" s="1"/>
  <c r="I44" i="3"/>
  <c r="H28" i="3" a="1"/>
  <c r="H28" i="3" s="1"/>
  <c r="I28" i="3"/>
  <c r="H29" i="3" a="1"/>
  <c r="H29" i="3" s="1"/>
  <c r="I29" i="3"/>
  <c r="H30" i="3" a="1"/>
  <c r="H30" i="3" s="1"/>
  <c r="I30" i="3"/>
  <c r="H18" i="3" a="1"/>
  <c r="H18" i="3" s="1"/>
  <c r="I18" i="3"/>
  <c r="H19" i="3" a="1"/>
  <c r="H19" i="3" s="1"/>
  <c r="I19" i="3"/>
  <c r="H20" i="3" a="1"/>
  <c r="H20" i="3" s="1"/>
  <c r="I20" i="3"/>
  <c r="H21" i="3" a="1"/>
  <c r="H21" i="3" s="1"/>
  <c r="I21" i="3"/>
  <c r="H43" i="3" a="1"/>
  <c r="H43" i="3" s="1"/>
  <c r="I43" i="3"/>
  <c r="H42" i="3" a="1"/>
  <c r="H42" i="3" s="1"/>
  <c r="I42" i="3"/>
  <c r="H41" i="3" l="1" a="1"/>
  <c r="H41" i="3" s="1"/>
  <c r="I41" i="3"/>
  <c r="L64" i="5"/>
  <c r="L65" i="5"/>
  <c r="L66" i="5"/>
  <c r="L68" i="5"/>
  <c r="L69" i="5"/>
  <c r="L70" i="5"/>
  <c r="L72" i="5"/>
  <c r="L73" i="5"/>
  <c r="L74" i="5"/>
  <c r="L76" i="5"/>
  <c r="L77" i="5"/>
  <c r="L78" i="5"/>
  <c r="L80" i="5"/>
  <c r="L81" i="5"/>
  <c r="L82" i="5"/>
  <c r="L84" i="5"/>
  <c r="L85" i="5"/>
  <c r="L86" i="5"/>
  <c r="L88" i="5"/>
  <c r="L89" i="5"/>
  <c r="L90" i="5"/>
  <c r="L92" i="5"/>
  <c r="L93" i="5"/>
  <c r="L94" i="5"/>
  <c r="L96" i="5"/>
  <c r="L97" i="5"/>
  <c r="L98" i="5"/>
  <c r="L100" i="5"/>
  <c r="L101" i="5"/>
  <c r="L102" i="5"/>
  <c r="L60" i="5"/>
  <c r="L61" i="5"/>
  <c r="L62" i="5"/>
  <c r="L57" i="5"/>
  <c r="L58" i="5"/>
  <c r="L56" i="5"/>
  <c r="K64" i="5"/>
  <c r="K65" i="5"/>
  <c r="K66" i="5"/>
  <c r="K68" i="5"/>
  <c r="K69" i="5"/>
  <c r="K70" i="5"/>
  <c r="K72" i="5"/>
  <c r="K73" i="5"/>
  <c r="K74" i="5"/>
  <c r="K76" i="5"/>
  <c r="K77" i="5"/>
  <c r="K78" i="5"/>
  <c r="K80" i="5"/>
  <c r="K81" i="5"/>
  <c r="K82" i="5"/>
  <c r="K84" i="5"/>
  <c r="K85" i="5"/>
  <c r="K86" i="5"/>
  <c r="K88" i="5"/>
  <c r="K89" i="5"/>
  <c r="K90" i="5"/>
  <c r="K92" i="5"/>
  <c r="K93" i="5"/>
  <c r="K94" i="5"/>
  <c r="K96" i="5"/>
  <c r="K97" i="5"/>
  <c r="K98" i="5"/>
  <c r="K100" i="5"/>
  <c r="K101" i="5"/>
  <c r="K102" i="5"/>
  <c r="K60" i="5"/>
  <c r="K61" i="5"/>
  <c r="K62" i="5"/>
  <c r="K57" i="5"/>
  <c r="K58" i="5"/>
  <c r="K56" i="5"/>
  <c r="H40" i="3" a="1"/>
  <c r="H40" i="3" s="1"/>
  <c r="I40" i="3"/>
  <c r="AI22" i="4"/>
  <c r="H39" i="3" a="1"/>
  <c r="H39" i="3" s="1"/>
  <c r="I39" i="3"/>
  <c r="H38" i="3" a="1"/>
  <c r="H38" i="3" s="1"/>
  <c r="I38" i="3"/>
  <c r="H37" i="3" a="1"/>
  <c r="H37" i="3" s="1"/>
  <c r="I37" i="3"/>
  <c r="H36" i="3" a="1"/>
  <c r="H36" i="3" s="1"/>
  <c r="I36" i="3"/>
  <c r="H35" i="3" a="1"/>
  <c r="H35" i="3" s="1"/>
  <c r="I35" i="3"/>
  <c r="H34" i="3" a="1"/>
  <c r="H34" i="3" s="1"/>
  <c r="I34" i="3"/>
  <c r="H33" i="3" a="1"/>
  <c r="H33" i="3" s="1"/>
  <c r="I33" i="3"/>
  <c r="H32" i="3" a="1"/>
  <c r="H32" i="3" s="1"/>
  <c r="I32" i="3"/>
  <c r="H31" i="3" a="1"/>
  <c r="H31" i="3" s="1"/>
  <c r="I31" i="3"/>
  <c r="H27" i="3" a="1"/>
  <c r="H27" i="3" s="1"/>
  <c r="I27" i="3"/>
  <c r="H26" i="3" a="1"/>
  <c r="H26" i="3" s="1"/>
  <c r="I26" i="3"/>
  <c r="H25" i="3" a="1"/>
  <c r="H25" i="3" s="1"/>
  <c r="I25" i="3"/>
  <c r="H24" i="3" a="1"/>
  <c r="H24" i="3" s="1"/>
  <c r="I24" i="3"/>
  <c r="H23" i="3" a="1"/>
  <c r="H23" i="3" s="1"/>
  <c r="I23" i="3"/>
  <c r="H22" i="3" a="1"/>
  <c r="H22" i="3" s="1"/>
  <c r="I22" i="3"/>
  <c r="C13" i="4" a="1"/>
  <c r="C13" i="4" s="1"/>
  <c r="C14" i="4" s="1" a="1"/>
  <c r="C14" i="4" s="1"/>
  <c r="C15" i="4" s="1" a="1"/>
  <c r="C15" i="4" s="1"/>
  <c r="C16" i="4" s="1" a="1"/>
  <c r="C16" i="4" s="1"/>
  <c r="C17" i="4" s="1" a="1"/>
  <c r="C17" i="4" s="1"/>
  <c r="E18" i="5" a="1"/>
  <c r="E18" i="5" s="1"/>
  <c r="E17" i="5" a="1"/>
  <c r="E17" i="5" s="1"/>
  <c r="D84" i="5" s="1"/>
  <c r="C9" i="6"/>
  <c r="C10" i="6" s="1"/>
  <c r="C11" i="6" s="1"/>
  <c r="C12" i="6" s="1"/>
  <c r="C13" i="6" s="1"/>
  <c r="C14" i="6" s="1"/>
  <c r="C15" i="6" s="1"/>
  <c r="C16" i="6" s="1"/>
  <c r="C17" i="6" s="1"/>
  <c r="C18" i="6" s="1"/>
  <c r="E10" i="5" a="1"/>
  <c r="E10" i="5" s="1"/>
  <c r="E9" i="5"/>
  <c r="E7" i="5"/>
  <c r="E6" i="5" a="1"/>
  <c r="E6" i="5" s="1"/>
  <c r="I14" i="3"/>
  <c r="I15" i="3"/>
  <c r="I16" i="3"/>
  <c r="I17" i="3"/>
  <c r="H14" i="3" a="1"/>
  <c r="H14" i="3" s="1"/>
  <c r="H16" i="3" a="1"/>
  <c r="H16" i="3" s="1"/>
  <c r="H15" i="3" a="1"/>
  <c r="H15" i="3" s="1"/>
  <c r="H17" i="3" a="1"/>
  <c r="H17" i="3" s="1"/>
  <c r="AG6" i="2"/>
  <c r="AU6" i="2"/>
  <c r="BI6" i="2"/>
  <c r="BW6" i="2"/>
  <c r="CK6" i="2"/>
  <c r="CY6" i="2"/>
  <c r="DM6" i="2"/>
  <c r="AS11" i="2"/>
  <c r="BG11" i="2"/>
  <c r="BU11" i="2"/>
  <c r="CI11" i="2"/>
  <c r="CW11" i="2"/>
  <c r="DK11" i="2"/>
  <c r="DY11" i="2"/>
  <c r="AS12" i="2"/>
  <c r="BG12" i="2"/>
  <c r="BU12" i="2"/>
  <c r="CI12" i="2"/>
  <c r="CW12" i="2"/>
  <c r="DK12" i="2"/>
  <c r="DY12" i="2"/>
  <c r="AS13" i="2"/>
  <c r="BG13" i="2"/>
  <c r="BU13" i="2"/>
  <c r="CI13" i="2"/>
  <c r="CW13" i="2"/>
  <c r="DK13" i="2"/>
  <c r="DY13" i="2"/>
  <c r="AS14" i="2"/>
  <c r="BG14" i="2"/>
  <c r="BU14" i="2"/>
  <c r="CI14" i="2"/>
  <c r="CW14" i="2"/>
  <c r="DK14" i="2"/>
  <c r="DY14" i="2"/>
  <c r="AS15" i="2"/>
  <c r="BG15" i="2"/>
  <c r="BU15" i="2"/>
  <c r="CI15" i="2"/>
  <c r="CW15" i="2"/>
  <c r="DK15" i="2"/>
  <c r="DY15" i="2"/>
  <c r="AS16" i="2"/>
  <c r="BG16" i="2"/>
  <c r="BU16" i="2"/>
  <c r="CI16" i="2"/>
  <c r="CW16" i="2"/>
  <c r="DK16" i="2"/>
  <c r="DY16" i="2"/>
  <c r="AS17" i="2"/>
  <c r="BG17" i="2"/>
  <c r="BU17" i="2"/>
  <c r="CI17" i="2"/>
  <c r="CW17" i="2"/>
  <c r="DK17" i="2"/>
  <c r="DY17" i="2"/>
  <c r="AS18" i="2"/>
  <c r="BG18" i="2"/>
  <c r="BU18" i="2"/>
  <c r="CI18" i="2"/>
  <c r="CW18" i="2"/>
  <c r="DK18" i="2"/>
  <c r="DY18" i="2"/>
  <c r="AS19" i="2"/>
  <c r="BG19" i="2"/>
  <c r="BU19" i="2"/>
  <c r="CI19" i="2"/>
  <c r="CW19" i="2"/>
  <c r="DK19" i="2"/>
  <c r="DY19" i="2"/>
  <c r="AS20" i="2"/>
  <c r="BG20" i="2"/>
  <c r="BU20" i="2"/>
  <c r="CI20" i="2"/>
  <c r="CW20" i="2"/>
  <c r="DK20" i="2"/>
  <c r="DY20" i="2"/>
  <c r="AS21" i="2"/>
  <c r="BG21" i="2"/>
  <c r="BU21" i="2"/>
  <c r="CI21" i="2"/>
  <c r="CW21" i="2"/>
  <c r="DK21" i="2"/>
  <c r="DY21" i="2"/>
  <c r="AS22" i="2"/>
  <c r="BG22" i="2"/>
  <c r="BU22" i="2"/>
  <c r="CI22" i="2"/>
  <c r="CW22" i="2"/>
  <c r="DK22" i="2"/>
  <c r="DY22" i="2"/>
  <c r="AS28" i="2"/>
  <c r="BG28" i="2"/>
  <c r="BU28" i="2"/>
  <c r="CI28" i="2"/>
  <c r="CW28" i="2"/>
  <c r="DK28" i="2"/>
  <c r="DY28" i="2"/>
  <c r="AS29" i="2"/>
  <c r="BG29" i="2"/>
  <c r="BU29" i="2"/>
  <c r="CI29" i="2"/>
  <c r="CW29" i="2"/>
  <c r="DK29" i="2"/>
  <c r="DY29" i="2"/>
  <c r="AS30" i="2"/>
  <c r="BG30" i="2"/>
  <c r="BU30" i="2"/>
  <c r="CI30" i="2"/>
  <c r="CW30" i="2"/>
  <c r="DK30" i="2"/>
  <c r="DY30" i="2"/>
  <c r="AS37" i="2"/>
  <c r="BG37" i="2"/>
  <c r="BU37" i="2"/>
  <c r="CI37" i="2"/>
  <c r="CW37" i="2"/>
  <c r="DK37" i="2"/>
  <c r="DY37" i="2"/>
  <c r="AS38" i="2"/>
  <c r="BG38" i="2"/>
  <c r="BU38" i="2"/>
  <c r="CI38" i="2"/>
  <c r="CW38" i="2"/>
  <c r="DK38" i="2"/>
  <c r="DY38" i="2"/>
  <c r="AS40" i="2"/>
  <c r="BG40" i="2"/>
  <c r="BU40" i="2"/>
  <c r="CI40" i="2"/>
  <c r="CW40" i="2"/>
  <c r="DK40" i="2"/>
  <c r="DY40" i="2"/>
  <c r="AS46" i="2"/>
  <c r="BG46" i="2"/>
  <c r="BU46" i="2"/>
  <c r="CI46" i="2"/>
  <c r="CW46" i="2"/>
  <c r="DK46" i="2"/>
  <c r="DY46" i="2"/>
  <c r="AS47" i="2"/>
  <c r="BG47" i="2"/>
  <c r="BU47" i="2"/>
  <c r="CI47" i="2"/>
  <c r="CW47" i="2"/>
  <c r="DK47" i="2"/>
  <c r="DY47" i="2"/>
  <c r="AS48" i="2"/>
  <c r="BG48" i="2"/>
  <c r="BU48" i="2"/>
  <c r="CI48" i="2"/>
  <c r="CW48" i="2"/>
  <c r="DK48" i="2"/>
  <c r="DY48" i="2"/>
  <c r="AS49" i="2"/>
  <c r="BG49" i="2"/>
  <c r="BU49" i="2"/>
  <c r="CI49" i="2"/>
  <c r="CW49" i="2"/>
  <c r="DK49" i="2"/>
  <c r="DY49" i="2"/>
  <c r="AS54" i="2"/>
  <c r="BG54" i="2"/>
  <c r="BU54" i="2"/>
  <c r="CI54" i="2"/>
  <c r="CW54" i="2"/>
  <c r="DK54" i="2"/>
  <c r="DY54" i="2"/>
  <c r="AS55" i="2"/>
  <c r="BG55" i="2"/>
  <c r="BU55" i="2"/>
  <c r="CI55" i="2"/>
  <c r="CW55" i="2"/>
  <c r="DK55" i="2"/>
  <c r="DY55" i="2"/>
  <c r="AS56" i="2"/>
  <c r="BG56" i="2"/>
  <c r="BU56" i="2"/>
  <c r="CI56" i="2"/>
  <c r="CW56" i="2"/>
  <c r="DK56" i="2"/>
  <c r="DY56" i="2"/>
  <c r="AS57" i="2"/>
  <c r="BG57" i="2"/>
  <c r="BU57" i="2"/>
  <c r="CI57" i="2"/>
  <c r="CW57" i="2"/>
  <c r="DK57" i="2"/>
  <c r="DY57" i="2"/>
  <c r="S5" i="2"/>
  <c r="T10" i="2" s="1"/>
  <c r="S6" i="2"/>
  <c r="AE11" i="2"/>
  <c r="AE12" i="2"/>
  <c r="AE13" i="2"/>
  <c r="AE14" i="2"/>
  <c r="AE15" i="2"/>
  <c r="AE16" i="2"/>
  <c r="AE17" i="2"/>
  <c r="AE18" i="2"/>
  <c r="AE19" i="2"/>
  <c r="AE20" i="2"/>
  <c r="AE21" i="2"/>
  <c r="AE22" i="2"/>
  <c r="AE28" i="2"/>
  <c r="AE29" i="2"/>
  <c r="AE30" i="2"/>
  <c r="AE37" i="2"/>
  <c r="AE38" i="2"/>
  <c r="AE40" i="2"/>
  <c r="AE46" i="2"/>
  <c r="AE47" i="2"/>
  <c r="AE48" i="2"/>
  <c r="AE49" i="2"/>
  <c r="AE54" i="2"/>
  <c r="AE55" i="2"/>
  <c r="AE56" i="2"/>
  <c r="AE57" i="2"/>
  <c r="E41" i="2" a="1"/>
  <c r="E20" i="5" l="1"/>
  <c r="E21" i="5" s="1" a="1"/>
  <c r="E21" i="5" s="1"/>
  <c r="E22" i="5" s="1"/>
  <c r="D60" i="5"/>
  <c r="I60" i="5" s="1"/>
  <c r="D56" i="5"/>
  <c r="I58" i="5" s="1"/>
  <c r="P58" i="5" s="1" a="1"/>
  <c r="P58" i="5" s="1"/>
  <c r="D100" i="5"/>
  <c r="I100" i="5" s="1"/>
  <c r="P100" i="5" s="1" a="1"/>
  <c r="P100" i="5" s="1"/>
  <c r="D88" i="5"/>
  <c r="I88" i="5" s="1"/>
  <c r="P88" i="5" s="1" a="1"/>
  <c r="P88" i="5" s="1"/>
  <c r="D92" i="5"/>
  <c r="I92" i="5" s="1"/>
  <c r="P92" i="5" s="1" a="1"/>
  <c r="P92" i="5" s="1"/>
  <c r="D96" i="5"/>
  <c r="I96" i="5" s="1"/>
  <c r="J96" i="5" s="1"/>
  <c r="P60" i="5" a="1"/>
  <c r="P60" i="5" s="1"/>
  <c r="J88" i="5"/>
  <c r="J60" i="5"/>
  <c r="I84" i="5"/>
  <c r="P84" i="5" s="1" a="1"/>
  <c r="P84" i="5" s="1"/>
  <c r="I86" i="5"/>
  <c r="P86" i="5" s="1" a="1"/>
  <c r="P86" i="5" s="1"/>
  <c r="I89" i="5"/>
  <c r="P89" i="5" s="1" a="1"/>
  <c r="P89" i="5" s="1"/>
  <c r="E8" i="5"/>
  <c r="D64" i="5"/>
  <c r="D68" i="5"/>
  <c r="I68" i="5" s="1"/>
  <c r="P68" i="5" s="1" a="1"/>
  <c r="P68" i="5" s="1"/>
  <c r="D72" i="5"/>
  <c r="I72" i="5" s="1"/>
  <c r="P72" i="5" s="1" a="1"/>
  <c r="P72" i="5" s="1"/>
  <c r="D76" i="5"/>
  <c r="I76" i="5" s="1"/>
  <c r="P76" i="5" s="1" a="1"/>
  <c r="P76" i="5" s="1"/>
  <c r="D80" i="5"/>
  <c r="I80" i="5" s="1"/>
  <c r="J80" i="5" s="1"/>
  <c r="I85" i="5"/>
  <c r="P85" i="5" s="1" a="1"/>
  <c r="P85" i="5" s="1"/>
  <c r="I81" i="5"/>
  <c r="P81" i="5" s="1" a="1"/>
  <c r="P81" i="5" s="1"/>
  <c r="I102" i="5"/>
  <c r="P102" i="5" s="1" a="1"/>
  <c r="P102" i="5" s="1"/>
  <c r="I62" i="5"/>
  <c r="J62" i="5" s="1"/>
  <c r="I61" i="5"/>
  <c r="P61" i="5" s="1" a="1"/>
  <c r="P61" i="5" s="1"/>
  <c r="E41" i="2"/>
  <c r="G13" i="4" a="1"/>
  <c r="G13" i="4" s="1"/>
  <c r="H13" i="4"/>
  <c r="E11" i="5"/>
  <c r="E12" i="5" s="1"/>
  <c r="E13" i="4" a="1"/>
  <c r="E13" i="4" s="1"/>
  <c r="AG5" i="2"/>
  <c r="AO10" i="2" s="1"/>
  <c r="E15" i="4" a="1"/>
  <c r="E15" i="4" s="1"/>
  <c r="G15" i="4" a="1"/>
  <c r="G15" i="4" s="1"/>
  <c r="C18" i="4" a="1"/>
  <c r="C18" i="4" s="1"/>
  <c r="E17" i="4" a="1"/>
  <c r="E17" i="4" s="1"/>
  <c r="G14" i="4" a="1"/>
  <c r="G14" i="4" s="1"/>
  <c r="E14" i="4" a="1"/>
  <c r="E14" i="4" s="1"/>
  <c r="H17" i="4"/>
  <c r="H16" i="4"/>
  <c r="H15" i="4"/>
  <c r="H14" i="4"/>
  <c r="G17" i="4" a="1"/>
  <c r="G17" i="4" s="1"/>
  <c r="G16" i="4" a="1"/>
  <c r="G16" i="4" s="1"/>
  <c r="E16" i="4" a="1"/>
  <c r="E16" i="4" s="1"/>
  <c r="AP45" i="2"/>
  <c r="AR27" i="2"/>
  <c r="AP10" i="2"/>
  <c r="AO45" i="2"/>
  <c r="AQ27" i="2"/>
  <c r="AM10" i="2"/>
  <c r="AM27" i="2"/>
  <c r="J13" i="4" a="1"/>
  <c r="J13" i="4" s="1"/>
  <c r="J14" i="4" a="1"/>
  <c r="J14" i="4" s="1"/>
  <c r="E19" i="5"/>
  <c r="Y11" i="4" s="1"/>
  <c r="AA27" i="2"/>
  <c r="AB10" i="2"/>
  <c r="AD45" i="2"/>
  <c r="Y27" i="2"/>
  <c r="AC45" i="2"/>
  <c r="Y10" i="2"/>
  <c r="W27" i="2"/>
  <c r="V27" i="2"/>
  <c r="W10" i="2"/>
  <c r="Z45" i="2"/>
  <c r="U27" i="2"/>
  <c r="V10" i="2"/>
  <c r="AD27" i="2"/>
  <c r="AE10" i="2"/>
  <c r="S10" i="2"/>
  <c r="V45" i="2"/>
  <c r="AC27" i="2"/>
  <c r="AD10" i="2"/>
  <c r="U10" i="2"/>
  <c r="W45" i="2"/>
  <c r="U45" i="2"/>
  <c r="AB27" i="2"/>
  <c r="AC10" i="2"/>
  <c r="T45" i="2"/>
  <c r="AE45" i="2"/>
  <c r="S45" i="2"/>
  <c r="Z27" i="2"/>
  <c r="AA10" i="2"/>
  <c r="Z10" i="2"/>
  <c r="X27" i="2"/>
  <c r="AB45" i="2"/>
  <c r="X10" i="2"/>
  <c r="AA45" i="2"/>
  <c r="Y45" i="2"/>
  <c r="T27" i="2"/>
  <c r="X45" i="2"/>
  <c r="AE27" i="2"/>
  <c r="S27" i="2"/>
  <c r="J85" i="5" l="1"/>
  <c r="I101" i="5"/>
  <c r="P101" i="5" s="1" a="1"/>
  <c r="P101" i="5" s="1"/>
  <c r="J86" i="5"/>
  <c r="J100" i="5"/>
  <c r="I90" i="5"/>
  <c r="P90" i="5" s="1" a="1"/>
  <c r="P90" i="5" s="1"/>
  <c r="J58" i="5"/>
  <c r="I57" i="5"/>
  <c r="P57" i="5" s="1" a="1"/>
  <c r="P57" i="5" s="1"/>
  <c r="I56" i="5"/>
  <c r="P56" i="5" s="1" a="1"/>
  <c r="P56" i="5" s="1"/>
  <c r="J92" i="5"/>
  <c r="J81" i="5"/>
  <c r="J90" i="5"/>
  <c r="J56" i="5"/>
  <c r="J84" i="5"/>
  <c r="I98" i="5"/>
  <c r="P98" i="5" s="1" a="1"/>
  <c r="P98" i="5" s="1"/>
  <c r="J102" i="5"/>
  <c r="P62" i="5" a="1"/>
  <c r="P62" i="5" s="1"/>
  <c r="I78" i="5"/>
  <c r="J72" i="5"/>
  <c r="I82" i="5"/>
  <c r="J76" i="5"/>
  <c r="J89" i="5"/>
  <c r="J61" i="5"/>
  <c r="I69" i="5"/>
  <c r="I70" i="5"/>
  <c r="I93" i="5"/>
  <c r="P80" i="5" a="1"/>
  <c r="P80" i="5" s="1"/>
  <c r="I97" i="5"/>
  <c r="I94" i="5"/>
  <c r="J68" i="5"/>
  <c r="P96" i="5" a="1"/>
  <c r="P96" i="5" s="1"/>
  <c r="I73" i="5"/>
  <c r="I74" i="5"/>
  <c r="I64" i="5"/>
  <c r="I65" i="5"/>
  <c r="I66" i="5"/>
  <c r="I77" i="5"/>
  <c r="AL10" i="2"/>
  <c r="AN27" i="2"/>
  <c r="AK45" i="2"/>
  <c r="AL45" i="2"/>
  <c r="AK27" i="2"/>
  <c r="AO27" i="2"/>
  <c r="AI45" i="2"/>
  <c r="AM45" i="2"/>
  <c r="F13" i="4"/>
  <c r="K13" i="4" a="1"/>
  <c r="K13" i="4" s="1"/>
  <c r="L13" i="4" a="1"/>
  <c r="L13" i="4" s="1"/>
  <c r="D13" i="4"/>
  <c r="I13" i="4" s="1" a="1"/>
  <c r="I13" i="4" s="1"/>
  <c r="AJ10" i="2"/>
  <c r="AN10" i="2"/>
  <c r="AL27" i="2"/>
  <c r="AP27" i="2"/>
  <c r="AJ45" i="2"/>
  <c r="AN45" i="2"/>
  <c r="AB13" i="4"/>
  <c r="AD13" i="4"/>
  <c r="AC13" i="4"/>
  <c r="Z13" i="4"/>
  <c r="AA13" i="4"/>
  <c r="AK10" i="2"/>
  <c r="AF11" i="4"/>
  <c r="AI10" i="2"/>
  <c r="AH10" i="2"/>
  <c r="AJ27" i="2"/>
  <c r="AU5" i="2"/>
  <c r="AQ10" i="2"/>
  <c r="AS27" i="2"/>
  <c r="AR10" i="2"/>
  <c r="AG45" i="2"/>
  <c r="AG27" i="2"/>
  <c r="AI27" i="2"/>
  <c r="AS10" i="2"/>
  <c r="AH45" i="2"/>
  <c r="AQ45" i="2"/>
  <c r="AR45" i="2"/>
  <c r="AS45" i="2"/>
  <c r="AH27" i="2"/>
  <c r="AG10" i="2"/>
  <c r="F16" i="4"/>
  <c r="F15" i="4"/>
  <c r="F14" i="4"/>
  <c r="F17" i="4"/>
  <c r="C19" i="4" a="1"/>
  <c r="C19" i="4" s="1"/>
  <c r="H18" i="4"/>
  <c r="G18" i="4" a="1"/>
  <c r="G18" i="4" s="1"/>
  <c r="E18" i="4" a="1"/>
  <c r="E18" i="4" s="1"/>
  <c r="J15" i="4" a="1"/>
  <c r="J15" i="4" s="1"/>
  <c r="Q11" i="2"/>
  <c r="Q12" i="2"/>
  <c r="Q13" i="2"/>
  <c r="Q14" i="2"/>
  <c r="Q15" i="2"/>
  <c r="Q16" i="2"/>
  <c r="Q17" i="2"/>
  <c r="Q18" i="2"/>
  <c r="Q19" i="2"/>
  <c r="Q20" i="2"/>
  <c r="Q21" i="2"/>
  <c r="Q22" i="2"/>
  <c r="J101" i="5" l="1"/>
  <c r="J57" i="5"/>
  <c r="J98" i="5"/>
  <c r="P74" i="5" a="1"/>
  <c r="P74" i="5" s="1"/>
  <c r="J74" i="5"/>
  <c r="P73" i="5" a="1"/>
  <c r="P73" i="5" s="1"/>
  <c r="J73" i="5"/>
  <c r="P69" i="5" a="1"/>
  <c r="P69" i="5" s="1"/>
  <c r="J69" i="5"/>
  <c r="P82" i="5" a="1"/>
  <c r="P82" i="5" s="1"/>
  <c r="J82" i="5"/>
  <c r="P77" i="5" a="1"/>
  <c r="P77" i="5" s="1"/>
  <c r="J77" i="5"/>
  <c r="J94" i="5"/>
  <c r="P94" i="5" a="1"/>
  <c r="P94" i="5" s="1"/>
  <c r="P66" i="5" a="1"/>
  <c r="P66" i="5" s="1"/>
  <c r="J66" i="5"/>
  <c r="P97" i="5" a="1"/>
  <c r="P97" i="5" s="1"/>
  <c r="J97" i="5"/>
  <c r="J78" i="5"/>
  <c r="P78" i="5" a="1"/>
  <c r="P78" i="5" s="1"/>
  <c r="P65" i="5" a="1"/>
  <c r="P65" i="5" s="1"/>
  <c r="J65" i="5"/>
  <c r="P70" i="5" a="1"/>
  <c r="P70" i="5" s="1"/>
  <c r="J70" i="5"/>
  <c r="P64" i="5" a="1"/>
  <c r="P64" i="5" s="1"/>
  <c r="J64" i="5"/>
  <c r="J93" i="5"/>
  <c r="P93" i="5" a="1"/>
  <c r="P93" i="5" s="1"/>
  <c r="V13" i="4"/>
  <c r="O13" i="4"/>
  <c r="P13" i="4"/>
  <c r="N13" i="4" a="1"/>
  <c r="N13" i="4" s="1"/>
  <c r="W13" i="4"/>
  <c r="T13" i="4"/>
  <c r="Q13" i="4"/>
  <c r="M13" i="4" a="1"/>
  <c r="M13" i="4" s="1"/>
  <c r="R13" i="4"/>
  <c r="X13" i="4"/>
  <c r="U13" i="4"/>
  <c r="S13" i="4"/>
  <c r="D14" i="4"/>
  <c r="D15" i="4" s="1"/>
  <c r="M15" i="4" s="1" a="1"/>
  <c r="M15" i="4" s="1"/>
  <c r="BD10" i="2"/>
  <c r="BI5" i="2"/>
  <c r="AV27" i="2"/>
  <c r="BF45" i="2"/>
  <c r="AW27" i="2"/>
  <c r="AU10" i="2"/>
  <c r="AX27" i="2"/>
  <c r="BF10" i="2"/>
  <c r="BG10" i="2"/>
  <c r="AU45" i="2"/>
  <c r="BG45" i="2"/>
  <c r="AX45" i="2"/>
  <c r="BG27" i="2"/>
  <c r="BB10" i="2"/>
  <c r="BB45" i="2"/>
  <c r="BE10" i="2"/>
  <c r="AV45" i="2"/>
  <c r="BA10" i="2"/>
  <c r="BD45" i="2"/>
  <c r="AY45" i="2"/>
  <c r="AU27" i="2"/>
  <c r="BF27" i="2"/>
  <c r="AZ27" i="2"/>
  <c r="AY27" i="2"/>
  <c r="AZ10" i="2"/>
  <c r="AZ45" i="2"/>
  <c r="BA27" i="2"/>
  <c r="BB27" i="2"/>
  <c r="BE45" i="2"/>
  <c r="BC10" i="2"/>
  <c r="BA45" i="2"/>
  <c r="AV10" i="2"/>
  <c r="BC27" i="2"/>
  <c r="AW10" i="2"/>
  <c r="AX10" i="2"/>
  <c r="BD27" i="2"/>
  <c r="AY10" i="2"/>
  <c r="BC45" i="2"/>
  <c r="BE27" i="2"/>
  <c r="AW45" i="2"/>
  <c r="F18" i="4"/>
  <c r="C20" i="4" a="1"/>
  <c r="C20" i="4" s="1"/>
  <c r="H19" i="4"/>
  <c r="G19" i="4" a="1"/>
  <c r="G19" i="4" s="1"/>
  <c r="E19" i="4" a="1"/>
  <c r="E19" i="4" s="1"/>
  <c r="J16" i="4" a="1"/>
  <c r="J16" i="4" s="1"/>
  <c r="Q28" i="2"/>
  <c r="Q40" i="2"/>
  <c r="Y13" i="4" l="1"/>
  <c r="M14" i="4" a="1"/>
  <c r="M14" i="4" s="1"/>
  <c r="V14" i="4" s="1"/>
  <c r="I14" i="4" a="1"/>
  <c r="I14" i="4" s="1"/>
  <c r="K14" i="4" s="1" a="1"/>
  <c r="K14" i="4" s="1"/>
  <c r="V15" i="4"/>
  <c r="D16" i="4"/>
  <c r="I15" i="4" a="1"/>
  <c r="I15" i="4" s="1"/>
  <c r="K15" i="4" s="1" a="1"/>
  <c r="K15" i="4" s="1"/>
  <c r="BJ10" i="2"/>
  <c r="BW5" i="2"/>
  <c r="BL27" i="2"/>
  <c r="BM27" i="2"/>
  <c r="BI10" i="2"/>
  <c r="BI45" i="2"/>
  <c r="BM45" i="2"/>
  <c r="BK27" i="2"/>
  <c r="BQ10" i="2"/>
  <c r="BI27" i="2"/>
  <c r="BJ27" i="2"/>
  <c r="BS45" i="2"/>
  <c r="BM10" i="2"/>
  <c r="BU10" i="2"/>
  <c r="BS10" i="2"/>
  <c r="BN10" i="2"/>
  <c r="BJ45" i="2"/>
  <c r="BP10" i="2"/>
  <c r="BO27" i="2"/>
  <c r="BN27" i="2"/>
  <c r="BN45" i="2"/>
  <c r="BP27" i="2"/>
  <c r="BU27" i="2"/>
  <c r="BO10" i="2"/>
  <c r="BK45" i="2"/>
  <c r="BT10" i="2"/>
  <c r="BL45" i="2"/>
  <c r="BQ27" i="2"/>
  <c r="BT27" i="2"/>
  <c r="BU45" i="2"/>
  <c r="BR10" i="2"/>
  <c r="BR45" i="2"/>
  <c r="BQ45" i="2"/>
  <c r="BR27" i="2"/>
  <c r="BK10" i="2"/>
  <c r="BP45" i="2"/>
  <c r="BL10" i="2"/>
  <c r="BS27" i="2"/>
  <c r="BO45" i="2"/>
  <c r="BT45" i="2"/>
  <c r="F19" i="4"/>
  <c r="C21" i="4" a="1"/>
  <c r="C21" i="4" s="1"/>
  <c r="H20" i="4"/>
  <c r="E20" i="4" a="1"/>
  <c r="E20" i="4" s="1"/>
  <c r="G20" i="4" a="1"/>
  <c r="G20" i="4" s="1"/>
  <c r="J17" i="4" a="1"/>
  <c r="J17" i="4" s="1"/>
  <c r="D17" i="4" l="1"/>
  <c r="I16" i="4" a="1"/>
  <c r="I16" i="4" s="1"/>
  <c r="K16" i="4" s="1" a="1"/>
  <c r="K16" i="4" s="1"/>
  <c r="M16" i="4" a="1"/>
  <c r="M16" i="4" s="1"/>
  <c r="L20" i="4" a="1"/>
  <c r="L20" i="4" s="1"/>
  <c r="CK5" i="2"/>
  <c r="CD27" i="2"/>
  <c r="CB10" i="2"/>
  <c r="BZ45" i="2"/>
  <c r="BX45" i="2"/>
  <c r="CE27" i="2"/>
  <c r="BW27" i="2"/>
  <c r="BY10" i="2"/>
  <c r="CG27" i="2"/>
  <c r="CD45" i="2"/>
  <c r="BW45" i="2"/>
  <c r="CA45" i="2"/>
  <c r="BY27" i="2"/>
  <c r="CG45" i="2"/>
  <c r="CI10" i="2"/>
  <c r="CB27" i="2"/>
  <c r="BZ27" i="2"/>
  <c r="CI45" i="2"/>
  <c r="CE45" i="2"/>
  <c r="BW10" i="2"/>
  <c r="BY45" i="2"/>
  <c r="CB45" i="2"/>
  <c r="CI27" i="2"/>
  <c r="CC27" i="2"/>
  <c r="CC45" i="2"/>
  <c r="CA10" i="2"/>
  <c r="CF27" i="2"/>
  <c r="BZ10" i="2"/>
  <c r="BX27" i="2"/>
  <c r="CE10" i="2"/>
  <c r="CC10" i="2"/>
  <c r="CF45" i="2"/>
  <c r="CH27" i="2"/>
  <c r="CF10" i="2"/>
  <c r="CD10" i="2"/>
  <c r="CA27" i="2"/>
  <c r="CG10" i="2"/>
  <c r="BX10" i="2"/>
  <c r="CH10" i="2"/>
  <c r="CH45" i="2"/>
  <c r="C22" i="4" a="1"/>
  <c r="C22" i="4" s="1"/>
  <c r="H21" i="4"/>
  <c r="E21" i="4" a="1"/>
  <c r="E21" i="4" s="1"/>
  <c r="G21" i="4" a="1"/>
  <c r="G21" i="4" s="1"/>
  <c r="F20" i="4"/>
  <c r="J18" i="4" a="1"/>
  <c r="J18" i="4" s="1"/>
  <c r="V16" i="4" l="1"/>
  <c r="D18" i="4"/>
  <c r="I17" i="4" a="1"/>
  <c r="I17" i="4" s="1"/>
  <c r="K17" i="4" s="1" a="1"/>
  <c r="K17" i="4" s="1"/>
  <c r="M17" i="4" a="1"/>
  <c r="M17" i="4" s="1"/>
  <c r="CS10" i="2"/>
  <c r="CT27" i="2"/>
  <c r="CO45" i="2"/>
  <c r="CV10" i="2"/>
  <c r="CL10" i="2"/>
  <c r="CV45" i="2"/>
  <c r="CS45" i="2"/>
  <c r="CR27" i="2"/>
  <c r="CK10" i="2"/>
  <c r="CM10" i="2"/>
  <c r="CL27" i="2"/>
  <c r="CL45" i="2"/>
  <c r="CS27" i="2"/>
  <c r="CK45" i="2"/>
  <c r="CU27" i="2"/>
  <c r="CQ45" i="2"/>
  <c r="CN10" i="2"/>
  <c r="CP45" i="2"/>
  <c r="CN27" i="2"/>
  <c r="CM45" i="2"/>
  <c r="CK27" i="2"/>
  <c r="CN45" i="2"/>
  <c r="CO10" i="2"/>
  <c r="CQ10" i="2"/>
  <c r="CY5" i="2"/>
  <c r="CT10" i="2"/>
  <c r="CW27" i="2"/>
  <c r="CO27" i="2"/>
  <c r="CV27" i="2"/>
  <c r="CR45" i="2"/>
  <c r="CR10" i="2"/>
  <c r="CP27" i="2"/>
  <c r="CU45" i="2"/>
  <c r="CW10" i="2"/>
  <c r="CQ27" i="2"/>
  <c r="CU10" i="2"/>
  <c r="CW45" i="2"/>
  <c r="CM27" i="2"/>
  <c r="CT45" i="2"/>
  <c r="CP10" i="2"/>
  <c r="C23" i="4" a="1"/>
  <c r="C23" i="4" s="1"/>
  <c r="H22" i="4"/>
  <c r="E22" i="4" a="1"/>
  <c r="E22" i="4" s="1"/>
  <c r="G22" i="4" a="1"/>
  <c r="G22" i="4" s="1"/>
  <c r="F21" i="4"/>
  <c r="J19" i="4" a="1"/>
  <c r="J19" i="4" s="1"/>
  <c r="I18" i="4" l="1" a="1"/>
  <c r="I18" i="4" s="1"/>
  <c r="K18" i="4" s="1" a="1"/>
  <c r="K18" i="4" s="1"/>
  <c r="D19" i="4"/>
  <c r="M18" i="4" a="1"/>
  <c r="M18" i="4" s="1"/>
  <c r="V17" i="4"/>
  <c r="DJ10" i="2"/>
  <c r="DF10" i="2"/>
  <c r="CY10" i="2"/>
  <c r="CZ27" i="2"/>
  <c r="DD27" i="2"/>
  <c r="DF27" i="2"/>
  <c r="DH10" i="2"/>
  <c r="DD45" i="2"/>
  <c r="DK27" i="2"/>
  <c r="DE27" i="2"/>
  <c r="DE45" i="2"/>
  <c r="DF45" i="2"/>
  <c r="DD10" i="2"/>
  <c r="DG27" i="2"/>
  <c r="DK10" i="2"/>
  <c r="DI10" i="2"/>
  <c r="DC27" i="2"/>
  <c r="CY27" i="2"/>
  <c r="DG45" i="2"/>
  <c r="DI45" i="2"/>
  <c r="DG10" i="2"/>
  <c r="DH45" i="2"/>
  <c r="DC45" i="2"/>
  <c r="DK45" i="2"/>
  <c r="DB27" i="2"/>
  <c r="DJ45" i="2"/>
  <c r="DB10" i="2"/>
  <c r="DC10" i="2"/>
  <c r="DJ27" i="2"/>
  <c r="DA45" i="2"/>
  <c r="CZ45" i="2"/>
  <c r="DE10" i="2"/>
  <c r="DB45" i="2"/>
  <c r="DM5" i="2"/>
  <c r="CZ10" i="2"/>
  <c r="DH27" i="2"/>
  <c r="DI27" i="2"/>
  <c r="CY45" i="2"/>
  <c r="DA27" i="2"/>
  <c r="DA10" i="2"/>
  <c r="C24" i="4" a="1"/>
  <c r="C24" i="4" s="1"/>
  <c r="E23" i="4" a="1"/>
  <c r="E23" i="4" s="1"/>
  <c r="H23" i="4"/>
  <c r="G23" i="4" a="1"/>
  <c r="G23" i="4" s="1"/>
  <c r="F22" i="4"/>
  <c r="J20" i="4" a="1"/>
  <c r="J20" i="4" s="1"/>
  <c r="CI23" i="2" a="1"/>
  <c r="Q23" i="2" a="1"/>
  <c r="G23" i="2" a="1"/>
  <c r="CD23" i="2" a="1"/>
  <c r="CG23" i="2" a="1"/>
  <c r="N23" i="2" a="1"/>
  <c r="AG23" i="2" a="1"/>
  <c r="CY23" i="2" a="1"/>
  <c r="DR23" i="2" a="1"/>
  <c r="AU23" i="2" a="1"/>
  <c r="CZ23" i="2" a="1"/>
  <c r="BO23" i="2" a="1"/>
  <c r="DD23" i="2" a="1"/>
  <c r="AH23" i="2" a="1"/>
  <c r="DX23" i="2" a="1"/>
  <c r="BW23" i="2" a="1"/>
  <c r="AY23" i="2" a="1"/>
  <c r="DJ23" i="2" a="1"/>
  <c r="AS23" i="2" a="1"/>
  <c r="BX23" i="2" a="1"/>
  <c r="V23" i="2" a="1"/>
  <c r="DO23" i="2" a="1"/>
  <c r="BT23" i="2" a="1"/>
  <c r="DA23" i="2" a="1"/>
  <c r="J23" i="2" a="1"/>
  <c r="CA23" i="2" a="1"/>
  <c r="BA23" i="2" a="1"/>
  <c r="DV23" i="2" a="1"/>
  <c r="AO23" i="2" a="1"/>
  <c r="CC23" i="2" a="1"/>
  <c r="AD23" i="2" a="1"/>
  <c r="CE23" i="2" a="1"/>
  <c r="E23" i="2" a="1"/>
  <c r="I23" i="2" a="1"/>
  <c r="CN23" i="2" a="1"/>
  <c r="BI23" i="2" a="1"/>
  <c r="H23" i="2" a="1"/>
  <c r="DE23" i="2" a="1"/>
  <c r="CV23" i="2" a="1"/>
  <c r="DB23" i="2" a="1"/>
  <c r="CF23" i="2" a="1"/>
  <c r="DW23" i="2" a="1"/>
  <c r="DY23" i="2" a="1"/>
  <c r="AB23" i="2" a="1"/>
  <c r="DU23" i="2" a="1"/>
  <c r="DM23" i="2" a="1"/>
  <c r="DS23" i="2" a="1"/>
  <c r="CS23" i="2" a="1"/>
  <c r="DF23" i="2" a="1"/>
  <c r="BQ23" i="2" a="1"/>
  <c r="P23" i="2" a="1"/>
  <c r="BJ23" i="2" a="1"/>
  <c r="CT23" i="2" a="1"/>
  <c r="CO23" i="2" a="1"/>
  <c r="BL23" i="2" a="1"/>
  <c r="CR23" i="2" a="1"/>
  <c r="CU23" i="2" a="1"/>
  <c r="AN23" i="2" a="1"/>
  <c r="BC23" i="2" a="1"/>
  <c r="BU23" i="2" a="1"/>
  <c r="F23" i="2" a="1"/>
  <c r="X23" i="2" a="1"/>
  <c r="AM23" i="2" a="1"/>
  <c r="BD23" i="2" a="1"/>
  <c r="DK23" i="2" a="1"/>
  <c r="AJ23" i="2" a="1"/>
  <c r="M23" i="2" a="1"/>
  <c r="L23" i="2" a="1"/>
  <c r="Y23" i="2" a="1"/>
  <c r="AL23" i="2" a="1"/>
  <c r="BS23" i="2" a="1"/>
  <c r="CK23" i="2" a="1"/>
  <c r="T23" i="2" a="1"/>
  <c r="CP23" i="2" a="1"/>
  <c r="DP23" i="2" a="1"/>
  <c r="CQ23" i="2" a="1"/>
  <c r="AA23" i="2" a="1"/>
  <c r="AR23" i="2" a="1"/>
  <c r="AK23" i="2" a="1"/>
  <c r="AV23" i="2" a="1"/>
  <c r="BR23" i="2" a="1"/>
  <c r="AC23" i="2" a="1"/>
  <c r="BG23" i="2" a="1"/>
  <c r="AZ23" i="2" a="1"/>
  <c r="DN23" i="2" a="1"/>
  <c r="DG23" i="2" a="1"/>
  <c r="DI23" i="2" a="1"/>
  <c r="BB23" i="2" a="1"/>
  <c r="BK23" i="2" a="1"/>
  <c r="BM23" i="2" a="1"/>
  <c r="BP23" i="2" a="1"/>
  <c r="AQ23" i="2" a="1"/>
  <c r="CH23" i="2" a="1"/>
  <c r="DT23" i="2" a="1"/>
  <c r="DQ23" i="2" a="1"/>
  <c r="K23" i="2" a="1"/>
  <c r="CL23" i="2" a="1"/>
  <c r="CM23" i="2" a="1"/>
  <c r="W23" i="2" a="1"/>
  <c r="O23" i="2" a="1"/>
  <c r="AX23" i="2" a="1"/>
  <c r="U23" i="2" a="1"/>
  <c r="BY23" i="2" a="1"/>
  <c r="S23" i="2" a="1"/>
  <c r="DH23" i="2" a="1"/>
  <c r="CW23" i="2" a="1"/>
  <c r="AI23" i="2" a="1"/>
  <c r="AP23" i="2" a="1"/>
  <c r="BZ23" i="2" a="1"/>
  <c r="DC23" i="2" a="1"/>
  <c r="BN23" i="2" a="1"/>
  <c r="CB23" i="2" a="1"/>
  <c r="AW23" i="2" a="1"/>
  <c r="Z23" i="2" a="1"/>
  <c r="BE23" i="2" a="1"/>
  <c r="BF23" i="2" a="1"/>
  <c r="AE23" i="2" a="1"/>
  <c r="N16" i="4" l="1" a="1"/>
  <c r="N16" i="4" s="1"/>
  <c r="V18" i="4"/>
  <c r="N15" i="4" a="1"/>
  <c r="N15" i="4" s="1"/>
  <c r="N18" i="4" a="1"/>
  <c r="N18" i="4" s="1"/>
  <c r="O18" i="4" s="1"/>
  <c r="I19" i="4" a="1"/>
  <c r="I19" i="4" s="1"/>
  <c r="K19" i="4" s="1" a="1"/>
  <c r="K19" i="4" s="1"/>
  <c r="D20" i="4"/>
  <c r="M19" i="4" a="1"/>
  <c r="M19" i="4" s="1"/>
  <c r="AM23" i="2"/>
  <c r="Q23" i="2"/>
  <c r="CC23" i="2"/>
  <c r="CM23" i="2"/>
  <c r="DM23" i="2"/>
  <c r="CF23" i="2"/>
  <c r="CA23" i="2"/>
  <c r="DW23" i="2"/>
  <c r="DI23" i="2"/>
  <c r="AQ23" i="2"/>
  <c r="AJ23" i="2"/>
  <c r="O23" i="2"/>
  <c r="Q96" i="5" s="1" a="1"/>
  <c r="Q96" i="5" s="1"/>
  <c r="Y96" i="5" s="1"/>
  <c r="CI23" i="2"/>
  <c r="BY23" i="2"/>
  <c r="AR23" i="2"/>
  <c r="BK23" i="2"/>
  <c r="AS23" i="2"/>
  <c r="CL23" i="2"/>
  <c r="DV23" i="2"/>
  <c r="BR23" i="2"/>
  <c r="DO23" i="2"/>
  <c r="AI23" i="2"/>
  <c r="CQ23" i="2"/>
  <c r="AL23" i="2"/>
  <c r="AE23" i="2"/>
  <c r="P23" i="2"/>
  <c r="Q100" i="5" s="1" a="1"/>
  <c r="Q100" i="5" s="1"/>
  <c r="Y100" i="5" s="1"/>
  <c r="CR23" i="2"/>
  <c r="DA23" i="2"/>
  <c r="CO23" i="2"/>
  <c r="DE23" i="2"/>
  <c r="CH23" i="2"/>
  <c r="I23" i="2"/>
  <c r="J23" i="2"/>
  <c r="AB23" i="2"/>
  <c r="DH23" i="2"/>
  <c r="BL23" i="2"/>
  <c r="CD23" i="2"/>
  <c r="AG23" i="2"/>
  <c r="DS23" i="2"/>
  <c r="K23" i="2"/>
  <c r="Q80" i="5" s="1" a="1"/>
  <c r="Q80" i="5" s="1"/>
  <c r="Y80" i="5" s="1"/>
  <c r="DG23" i="2"/>
  <c r="CY23" i="2"/>
  <c r="N23" i="2"/>
  <c r="V23" i="2"/>
  <c r="CN23" i="2"/>
  <c r="DP23" i="2"/>
  <c r="BJ23" i="2"/>
  <c r="E23" i="2"/>
  <c r="L23" i="2"/>
  <c r="AK23" i="2"/>
  <c r="AP23" i="2"/>
  <c r="AY23" i="2"/>
  <c r="DJ23" i="2"/>
  <c r="CB23" i="2"/>
  <c r="DK23" i="2"/>
  <c r="AH23" i="2"/>
  <c r="AC23" i="2"/>
  <c r="CE23" i="2"/>
  <c r="DN23" i="2"/>
  <c r="DT23" i="2"/>
  <c r="M23" i="2"/>
  <c r="BA23" i="2"/>
  <c r="AX23" i="2"/>
  <c r="CV23" i="2"/>
  <c r="CZ23" i="2"/>
  <c r="AD23" i="2"/>
  <c r="DR23" i="2"/>
  <c r="CK23" i="2"/>
  <c r="BU23" i="2"/>
  <c r="CW23" i="2"/>
  <c r="DY23" i="2"/>
  <c r="H23" i="2"/>
  <c r="BD23" i="2"/>
  <c r="AV23" i="2"/>
  <c r="AA23" i="2"/>
  <c r="W23" i="2"/>
  <c r="BC23" i="2"/>
  <c r="U23" i="2"/>
  <c r="Y23" i="2"/>
  <c r="BI23" i="2"/>
  <c r="BT23" i="2"/>
  <c r="X23" i="2"/>
  <c r="DD23" i="2"/>
  <c r="AW23" i="2"/>
  <c r="AN23" i="2"/>
  <c r="DB23" i="2"/>
  <c r="CT23" i="2"/>
  <c r="BW23" i="2"/>
  <c r="BS23" i="2"/>
  <c r="CU23" i="2"/>
  <c r="BB23" i="2"/>
  <c r="BE23" i="2"/>
  <c r="BP23" i="2"/>
  <c r="BG23" i="2"/>
  <c r="BQ23" i="2"/>
  <c r="DX23" i="2"/>
  <c r="CG23" i="2"/>
  <c r="DC23" i="2"/>
  <c r="DU23" i="2"/>
  <c r="BO23" i="2"/>
  <c r="DQ23" i="2"/>
  <c r="DF23" i="2"/>
  <c r="AZ23" i="2"/>
  <c r="F23" i="2"/>
  <c r="G23" i="2"/>
  <c r="Q64" i="5" s="1" a="1"/>
  <c r="Q64" i="5" s="1"/>
  <c r="Y64" i="5" s="1"/>
  <c r="BN23" i="2"/>
  <c r="CS23" i="2"/>
  <c r="AU23" i="2"/>
  <c r="Z23" i="2"/>
  <c r="BZ23" i="2"/>
  <c r="T23" i="2"/>
  <c r="BX23" i="2"/>
  <c r="CP23" i="2"/>
  <c r="S23" i="2"/>
  <c r="BM23" i="2"/>
  <c r="AO23" i="2"/>
  <c r="BF23" i="2"/>
  <c r="DQ27" i="2"/>
  <c r="DW45" i="2"/>
  <c r="DX10" i="2"/>
  <c r="DT45" i="2"/>
  <c r="DX27" i="2"/>
  <c r="DR10" i="2"/>
  <c r="DN10" i="2"/>
  <c r="DY27" i="2"/>
  <c r="DM27" i="2"/>
  <c r="DO45" i="2"/>
  <c r="DU45" i="2"/>
  <c r="DY10" i="2"/>
  <c r="DS27" i="2"/>
  <c r="DY45" i="2"/>
  <c r="DU10" i="2"/>
  <c r="DT27" i="2"/>
  <c r="DP27" i="2"/>
  <c r="DO10" i="2"/>
  <c r="DU27" i="2"/>
  <c r="DV10" i="2"/>
  <c r="DW10" i="2"/>
  <c r="DN45" i="2"/>
  <c r="DV27" i="2"/>
  <c r="DP45" i="2"/>
  <c r="DM10" i="2"/>
  <c r="DT10" i="2"/>
  <c r="DN27" i="2"/>
  <c r="DR45" i="2"/>
  <c r="DQ10" i="2"/>
  <c r="DO27" i="2"/>
  <c r="DM45" i="2"/>
  <c r="DS45" i="2"/>
  <c r="DP10" i="2"/>
  <c r="DQ45" i="2"/>
  <c r="DR27" i="2"/>
  <c r="DS10" i="2"/>
  <c r="DW27" i="2"/>
  <c r="DX45" i="2"/>
  <c r="DV45" i="2"/>
  <c r="F23" i="4"/>
  <c r="C25" i="4" a="1"/>
  <c r="C25" i="4" s="1"/>
  <c r="N14" i="4" s="1" a="1"/>
  <c r="N14" i="4" s="1"/>
  <c r="G24" i="4" a="1"/>
  <c r="G24" i="4" s="1"/>
  <c r="E24" i="4" a="1"/>
  <c r="E24" i="4" s="1"/>
  <c r="H24" i="4"/>
  <c r="J21" i="4" a="1"/>
  <c r="J21" i="4" s="1"/>
  <c r="L19" i="4" l="1" a="1"/>
  <c r="L19" i="4" s="1"/>
  <c r="Q68" i="5" a="1"/>
  <c r="Q68" i="5" s="1"/>
  <c r="Y68" i="5" s="1"/>
  <c r="Q88" i="5" a="1"/>
  <c r="Q88" i="5" s="1"/>
  <c r="Y88" i="5" s="1"/>
  <c r="Q84" i="5" a="1"/>
  <c r="Q84" i="5" s="1"/>
  <c r="Y84" i="5" s="1"/>
  <c r="Q76" i="5" a="1"/>
  <c r="Q76" i="5" s="1"/>
  <c r="Y76" i="5" s="1"/>
  <c r="Q60" i="5" a="1"/>
  <c r="Q60" i="5" s="1"/>
  <c r="Y60" i="5" s="1"/>
  <c r="Q72" i="5" a="1"/>
  <c r="Q72" i="5" s="1"/>
  <c r="Y72" i="5" s="1"/>
  <c r="Q92" i="5" a="1"/>
  <c r="Q92" i="5" s="1"/>
  <c r="Y92" i="5" s="1"/>
  <c r="S80" i="5"/>
  <c r="S100" i="5"/>
  <c r="S96" i="5"/>
  <c r="S64" i="5"/>
  <c r="R80" i="5"/>
  <c r="R64" i="5"/>
  <c r="R100" i="5"/>
  <c r="R96" i="5"/>
  <c r="Q56" i="5" a="1"/>
  <c r="Q56" i="5" s="1"/>
  <c r="Y56" i="5" s="1"/>
  <c r="N19" i="4" a="1"/>
  <c r="N19" i="4" s="1"/>
  <c r="Q19" i="4" s="1"/>
  <c r="I20" i="4" a="1"/>
  <c r="I20" i="4" s="1"/>
  <c r="K20" i="4" s="1" a="1"/>
  <c r="K20" i="4" s="1"/>
  <c r="M20" i="4" a="1"/>
  <c r="M20" i="4" s="1"/>
  <c r="D21" i="4"/>
  <c r="N20" i="4" a="1"/>
  <c r="N20" i="4" s="1"/>
  <c r="N17" i="4" a="1"/>
  <c r="N17" i="4" s="1"/>
  <c r="T18" i="4"/>
  <c r="O16" i="4"/>
  <c r="Q16" i="4"/>
  <c r="T16" i="4"/>
  <c r="O14" i="4"/>
  <c r="T14" i="4"/>
  <c r="Q14" i="4"/>
  <c r="Q18" i="4"/>
  <c r="T15" i="4"/>
  <c r="Q15" i="4"/>
  <c r="O15" i="4"/>
  <c r="V19" i="4"/>
  <c r="T19" i="4"/>
  <c r="F24" i="4"/>
  <c r="C26" i="4" a="1"/>
  <c r="C26" i="4" s="1"/>
  <c r="G25" i="4" a="1"/>
  <c r="G25" i="4" s="1"/>
  <c r="E25" i="4" a="1"/>
  <c r="E25" i="4" s="1"/>
  <c r="H25" i="4"/>
  <c r="J22" i="4" a="1"/>
  <c r="J22" i="4" s="1"/>
  <c r="S68" i="5" l="1"/>
  <c r="R68" i="5"/>
  <c r="W68" i="5" s="1"/>
  <c r="R72" i="5"/>
  <c r="AD72" i="5" s="1"/>
  <c r="R88" i="5"/>
  <c r="AC88" i="5" s="1"/>
  <c r="S72" i="5"/>
  <c r="R92" i="5"/>
  <c r="W92" i="5" s="1"/>
  <c r="S84" i="5"/>
  <c r="S88" i="5"/>
  <c r="R84" i="5"/>
  <c r="W84" i="5" s="1"/>
  <c r="S92" i="5"/>
  <c r="R60" i="5"/>
  <c r="AC60" i="5" s="1"/>
  <c r="S60" i="5"/>
  <c r="R76" i="5"/>
  <c r="AD76" i="5" s="1"/>
  <c r="S76" i="5"/>
  <c r="AC80" i="5"/>
  <c r="AD80" i="5"/>
  <c r="AC96" i="5"/>
  <c r="AD96" i="5"/>
  <c r="AC100" i="5"/>
  <c r="AD100" i="5"/>
  <c r="AC64" i="5"/>
  <c r="AD64" i="5"/>
  <c r="S56" i="5"/>
  <c r="X96" i="5"/>
  <c r="W96" i="5"/>
  <c r="W100" i="5"/>
  <c r="X100" i="5"/>
  <c r="W64" i="5"/>
  <c r="X64" i="5"/>
  <c r="W80" i="5"/>
  <c r="X80" i="5"/>
  <c r="R56" i="5"/>
  <c r="O19" i="4"/>
  <c r="O17" i="4"/>
  <c r="Q17" i="4"/>
  <c r="T17" i="4"/>
  <c r="I21" i="4" a="1"/>
  <c r="I21" i="4" s="1"/>
  <c r="K21" i="4" s="1" a="1"/>
  <c r="K21" i="4" s="1"/>
  <c r="M21" i="4" a="1"/>
  <c r="M21" i="4" s="1"/>
  <c r="V21" i="4" s="1"/>
  <c r="D22" i="4"/>
  <c r="V20" i="4"/>
  <c r="T20" i="4"/>
  <c r="O20" i="4"/>
  <c r="Q20" i="4"/>
  <c r="F25" i="4"/>
  <c r="C27" i="4" a="1"/>
  <c r="C27" i="4" s="1"/>
  <c r="H26" i="4"/>
  <c r="E26" i="4" a="1"/>
  <c r="E26" i="4" s="1"/>
  <c r="G26" i="4" a="1"/>
  <c r="G26" i="4" s="1"/>
  <c r="J23" i="4" a="1"/>
  <c r="J23" i="4" s="1"/>
  <c r="AD68" i="5" l="1"/>
  <c r="AC68" i="5"/>
  <c r="X68" i="5"/>
  <c r="X72" i="5"/>
  <c r="W72" i="5"/>
  <c r="AC72" i="5"/>
  <c r="X88" i="5"/>
  <c r="W88" i="5"/>
  <c r="AD88" i="5"/>
  <c r="AD92" i="5"/>
  <c r="AC92" i="5"/>
  <c r="X92" i="5"/>
  <c r="X76" i="5"/>
  <c r="X60" i="5"/>
  <c r="W76" i="5"/>
  <c r="W60" i="5"/>
  <c r="AC76" i="5"/>
  <c r="AD60" i="5"/>
  <c r="AD84" i="5"/>
  <c r="AC84" i="5"/>
  <c r="X84" i="5"/>
  <c r="AC56" i="5"/>
  <c r="AD56" i="5"/>
  <c r="W56" i="5"/>
  <c r="X56" i="5"/>
  <c r="I22" i="4" a="1"/>
  <c r="I22" i="4" s="1"/>
  <c r="K22" i="4" s="1" a="1"/>
  <c r="K22" i="4" s="1"/>
  <c r="M22" i="4" a="1"/>
  <c r="M22" i="4" s="1"/>
  <c r="V22" i="4" s="1"/>
  <c r="D23" i="4"/>
  <c r="F26" i="4"/>
  <c r="C28" i="4" a="1"/>
  <c r="C28" i="4" s="1"/>
  <c r="H27" i="4"/>
  <c r="E27" i="4" a="1"/>
  <c r="E27" i="4" s="1"/>
  <c r="G27" i="4" a="1"/>
  <c r="G27" i="4" s="1"/>
  <c r="J24" i="4" a="1"/>
  <c r="J24" i="4" s="1"/>
  <c r="I23" i="4" l="1" a="1"/>
  <c r="I23" i="4" s="1"/>
  <c r="K23" i="4" s="1" a="1"/>
  <c r="K23" i="4" s="1"/>
  <c r="D24" i="4"/>
  <c r="M23" i="4" a="1"/>
  <c r="M23" i="4" s="1"/>
  <c r="V23" i="4" s="1"/>
  <c r="F27" i="4"/>
  <c r="C29" i="4" a="1"/>
  <c r="C29" i="4" s="1"/>
  <c r="H28" i="4"/>
  <c r="E28" i="4" a="1"/>
  <c r="E28" i="4" s="1"/>
  <c r="G28" i="4" a="1"/>
  <c r="G28" i="4" s="1"/>
  <c r="J25" i="4" a="1"/>
  <c r="J25" i="4" s="1"/>
  <c r="M24" i="4" l="1" a="1"/>
  <c r="M24" i="4" s="1"/>
  <c r="V24" i="4" s="1"/>
  <c r="D25" i="4"/>
  <c r="I24" i="4" a="1"/>
  <c r="I24" i="4" s="1"/>
  <c r="K24" i="4" s="1" a="1"/>
  <c r="K24" i="4" s="1"/>
  <c r="F28" i="4"/>
  <c r="C30" i="4" a="1"/>
  <c r="C30" i="4" s="1"/>
  <c r="E29" i="4" a="1"/>
  <c r="E29" i="4" s="1"/>
  <c r="H29" i="4"/>
  <c r="G29" i="4" a="1"/>
  <c r="G29" i="4" s="1"/>
  <c r="J29" i="4" a="1"/>
  <c r="J29" i="4" s="1"/>
  <c r="J26" i="4" a="1"/>
  <c r="J26" i="4" s="1"/>
  <c r="M25" i="4" l="1" a="1"/>
  <c r="M25" i="4" s="1"/>
  <c r="D26" i="4"/>
  <c r="I25" i="4" a="1"/>
  <c r="I25" i="4" s="1"/>
  <c r="K25" i="4" s="1" a="1"/>
  <c r="K25" i="4" s="1"/>
  <c r="F29" i="4"/>
  <c r="C31" i="4" a="1"/>
  <c r="C31" i="4" s="1"/>
  <c r="H30" i="4"/>
  <c r="G30" i="4" a="1"/>
  <c r="G30" i="4" s="1"/>
  <c r="E30" i="4" a="1"/>
  <c r="E30" i="4" s="1"/>
  <c r="J27" i="4" a="1"/>
  <c r="J27" i="4" s="1"/>
  <c r="P19" i="4"/>
  <c r="P20" i="4"/>
  <c r="P17" i="4"/>
  <c r="P15" i="4"/>
  <c r="P16" i="4"/>
  <c r="P18" i="4"/>
  <c r="P14" i="4"/>
  <c r="I26" i="4" l="1" a="1"/>
  <c r="I26" i="4" s="1"/>
  <c r="K26" i="4" s="1" a="1"/>
  <c r="K26" i="4" s="1"/>
  <c r="M26" i="4" a="1"/>
  <c r="M26" i="4" s="1"/>
  <c r="D27" i="4"/>
  <c r="V25" i="4"/>
  <c r="F30" i="4"/>
  <c r="C32" i="4" a="1"/>
  <c r="C32" i="4" s="1"/>
  <c r="H31" i="4"/>
  <c r="G31" i="4" a="1"/>
  <c r="G31" i="4" s="1"/>
  <c r="E31" i="4" a="1"/>
  <c r="E31" i="4" s="1"/>
  <c r="J28" i="4" a="1"/>
  <c r="J28" i="4" s="1"/>
  <c r="V26" i="4" l="1"/>
  <c r="D28" i="4"/>
  <c r="M27" i="4" a="1"/>
  <c r="M27" i="4" s="1"/>
  <c r="I27" i="4" a="1"/>
  <c r="I27" i="4" s="1"/>
  <c r="K27" i="4" s="1" a="1"/>
  <c r="K27" i="4" s="1"/>
  <c r="F31" i="4"/>
  <c r="C33" i="4" a="1"/>
  <c r="C33" i="4" s="1"/>
  <c r="H32" i="4"/>
  <c r="E32" i="4" a="1"/>
  <c r="E32" i="4" s="1"/>
  <c r="G32" i="4" a="1"/>
  <c r="G32" i="4" s="1"/>
  <c r="C61" i="2" a="1"/>
  <c r="C61" i="2" s="1"/>
  <c r="Q57" i="2"/>
  <c r="Q56" i="2"/>
  <c r="Q55" i="2"/>
  <c r="Q54" i="2"/>
  <c r="Q49" i="2"/>
  <c r="Q48" i="2"/>
  <c r="Q47" i="2"/>
  <c r="Q46" i="2"/>
  <c r="Q45" i="2"/>
  <c r="P45" i="2"/>
  <c r="O45" i="2"/>
  <c r="N45" i="2"/>
  <c r="M45" i="2"/>
  <c r="L45" i="2"/>
  <c r="K45" i="2"/>
  <c r="J45" i="2"/>
  <c r="I45" i="2"/>
  <c r="H45" i="2"/>
  <c r="G45" i="2"/>
  <c r="F45" i="2"/>
  <c r="E45" i="2"/>
  <c r="Q27" i="2"/>
  <c r="P27" i="2"/>
  <c r="O27" i="2"/>
  <c r="N27" i="2"/>
  <c r="M27" i="2"/>
  <c r="L27" i="2"/>
  <c r="K27" i="2"/>
  <c r="J27" i="2"/>
  <c r="I27" i="2"/>
  <c r="H27" i="2"/>
  <c r="G27" i="2"/>
  <c r="F27" i="2"/>
  <c r="E27" i="2"/>
  <c r="V27" i="4" l="1"/>
  <c r="D29" i="4"/>
  <c r="I28" i="4" a="1"/>
  <c r="I28" i="4" s="1"/>
  <c r="K28" i="4" s="1" a="1"/>
  <c r="K28" i="4" s="1"/>
  <c r="M28" i="4" a="1"/>
  <c r="M28" i="4" s="1"/>
  <c r="F32" i="4"/>
  <c r="C34" i="4" a="1"/>
  <c r="C34" i="4" s="1"/>
  <c r="N23" i="4" s="1" a="1"/>
  <c r="N23" i="4" s="1"/>
  <c r="H33" i="4"/>
  <c r="E33" i="4" a="1"/>
  <c r="E33" i="4" s="1"/>
  <c r="G33" i="4" a="1"/>
  <c r="G33" i="4" s="1"/>
  <c r="J30" i="4" a="1"/>
  <c r="J30" i="4" s="1"/>
  <c r="E10" i="2"/>
  <c r="Q10" i="2"/>
  <c r="P10" i="2"/>
  <c r="O10" i="2"/>
  <c r="N10" i="2"/>
  <c r="M10" i="2"/>
  <c r="L10" i="2"/>
  <c r="K10" i="2"/>
  <c r="J10" i="2"/>
  <c r="I10" i="2"/>
  <c r="H10" i="2"/>
  <c r="G10" i="2"/>
  <c r="F10" i="2"/>
  <c r="O23" i="4" l="1"/>
  <c r="T23" i="4"/>
  <c r="Q23" i="4"/>
  <c r="N24" i="4" a="1"/>
  <c r="N24" i="4" s="1"/>
  <c r="T24" i="4" s="1"/>
  <c r="N22" i="4" a="1"/>
  <c r="N22" i="4" s="1"/>
  <c r="O22" i="4" s="1"/>
  <c r="N25" i="4" a="1"/>
  <c r="N25" i="4" s="1"/>
  <c r="N28" i="4" a="1"/>
  <c r="N28" i="4" s="1"/>
  <c r="Q28" i="4" s="1"/>
  <c r="N27" i="4" a="1"/>
  <c r="N27" i="4" s="1"/>
  <c r="N26" i="4" a="1"/>
  <c r="N26" i="4" s="1"/>
  <c r="T26" i="4" s="1"/>
  <c r="I29" i="4" a="1"/>
  <c r="I29" i="4" s="1"/>
  <c r="K29" i="4" s="1" a="1"/>
  <c r="K29" i="4" s="1"/>
  <c r="D30" i="4"/>
  <c r="M29" i="4" a="1"/>
  <c r="M29" i="4" s="1"/>
  <c r="V29" i="4" s="1"/>
  <c r="V28" i="4"/>
  <c r="L17" i="4" a="1"/>
  <c r="L17" i="4" s="1"/>
  <c r="L15" i="4" a="1"/>
  <c r="L15" i="4" s="1"/>
  <c r="L14" i="4" a="1"/>
  <c r="L14" i="4" s="1"/>
  <c r="L16" i="4" a="1"/>
  <c r="L16" i="4" s="1"/>
  <c r="L21" i="4" a="1"/>
  <c r="L21" i="4" s="1"/>
  <c r="L22" i="4" a="1"/>
  <c r="L22" i="4" s="1"/>
  <c r="L23" i="4" a="1"/>
  <c r="L23" i="4" s="1"/>
  <c r="L24" i="4" a="1"/>
  <c r="L24" i="4" s="1"/>
  <c r="L18" i="4" a="1"/>
  <c r="L18" i="4" s="1"/>
  <c r="L25" i="4" a="1"/>
  <c r="L25" i="4" s="1"/>
  <c r="L27" i="4" a="1"/>
  <c r="L27" i="4" s="1"/>
  <c r="L28" i="4" a="1"/>
  <c r="L28" i="4" s="1"/>
  <c r="F33" i="4"/>
  <c r="C35" i="4" a="1"/>
  <c r="C35" i="4" s="1"/>
  <c r="E34" i="4" a="1"/>
  <c r="E34" i="4" s="1"/>
  <c r="G34" i="4" a="1"/>
  <c r="G34" i="4" s="1"/>
  <c r="H34" i="4"/>
  <c r="J31" i="4" a="1"/>
  <c r="J31" i="4" s="1"/>
  <c r="R20" i="4"/>
  <c r="R19" i="4"/>
  <c r="R15" i="4"/>
  <c r="R16" i="4"/>
  <c r="R18" i="4"/>
  <c r="R14" i="4"/>
  <c r="R17" i="4"/>
  <c r="O24" i="4" l="1"/>
  <c r="Q24" i="4"/>
  <c r="T28" i="4"/>
  <c r="O28" i="4"/>
  <c r="Q26" i="4"/>
  <c r="O26" i="4"/>
  <c r="T22" i="4"/>
  <c r="Q22" i="4"/>
  <c r="Q27" i="4"/>
  <c r="T27" i="4"/>
  <c r="O27" i="4"/>
  <c r="O25" i="4"/>
  <c r="T25" i="4"/>
  <c r="Q25" i="4"/>
  <c r="I30" i="4" a="1"/>
  <c r="I30" i="4" s="1"/>
  <c r="K30" i="4" s="1" a="1"/>
  <c r="K30" i="4" s="1"/>
  <c r="M30" i="4" a="1"/>
  <c r="M30" i="4" s="1"/>
  <c r="V30" i="4" s="1"/>
  <c r="D31" i="4"/>
  <c r="S19" i="4"/>
  <c r="S20" i="4"/>
  <c r="S18" i="4"/>
  <c r="S14" i="4"/>
  <c r="S15" i="4"/>
  <c r="S16" i="4"/>
  <c r="S17" i="4"/>
  <c r="F34" i="4"/>
  <c r="C36" i="4" a="1"/>
  <c r="C36" i="4" s="1"/>
  <c r="E35" i="4" a="1"/>
  <c r="E35" i="4" s="1"/>
  <c r="G35" i="4" a="1"/>
  <c r="G35" i="4" s="1"/>
  <c r="H35" i="4"/>
  <c r="J32" i="4" a="1"/>
  <c r="J32" i="4" s="1"/>
  <c r="N31" i="4" l="1" a="1"/>
  <c r="N31" i="4" s="1"/>
  <c r="I31" i="4" a="1"/>
  <c r="I31" i="4" s="1"/>
  <c r="K31" i="4" s="1" a="1"/>
  <c r="K31" i="4" s="1"/>
  <c r="D32" i="4"/>
  <c r="M31" i="4" a="1"/>
  <c r="M31" i="4" s="1"/>
  <c r="V31" i="4" s="1"/>
  <c r="N30" i="4" a="1"/>
  <c r="N30" i="4" s="1"/>
  <c r="F35" i="4"/>
  <c r="C37" i="4" a="1"/>
  <c r="C37" i="4" s="1"/>
  <c r="N32" i="4" s="1" a="1"/>
  <c r="N32" i="4" s="1"/>
  <c r="G36" i="4" a="1"/>
  <c r="G36" i="4" s="1"/>
  <c r="E36" i="4" a="1"/>
  <c r="E36" i="4" s="1"/>
  <c r="H36" i="4"/>
  <c r="J33" i="4" a="1"/>
  <c r="J33" i="4" s="1"/>
  <c r="I32" i="4" l="1" a="1"/>
  <c r="I32" i="4" s="1"/>
  <c r="K32" i="4" s="1" a="1"/>
  <c r="K32" i="4" s="1"/>
  <c r="D33" i="4"/>
  <c r="M32" i="4" a="1"/>
  <c r="M32" i="4" s="1"/>
  <c r="V32" i="4" s="1"/>
  <c r="Q31" i="4"/>
  <c r="O31" i="4"/>
  <c r="T31" i="4"/>
  <c r="O30" i="4"/>
  <c r="Q30" i="4"/>
  <c r="T30" i="4"/>
  <c r="D36" i="4"/>
  <c r="I36" i="4" s="1" a="1"/>
  <c r="I36" i="4" s="1"/>
  <c r="M35" i="4" a="1"/>
  <c r="M35" i="4" s="1"/>
  <c r="F36" i="4"/>
  <c r="C38" i="4" a="1"/>
  <c r="C38" i="4" s="1"/>
  <c r="G37" i="4" a="1"/>
  <c r="G37" i="4" s="1"/>
  <c r="E37" i="4" a="1"/>
  <c r="E37" i="4" s="1"/>
  <c r="H37" i="4"/>
  <c r="J34" i="4" a="1"/>
  <c r="J34" i="4" s="1"/>
  <c r="I33" i="4" l="1" a="1"/>
  <c r="I33" i="4" s="1"/>
  <c r="K33" i="4" s="1" a="1"/>
  <c r="K33" i="4" s="1"/>
  <c r="D34" i="4"/>
  <c r="N34" i="4" s="1" a="1"/>
  <c r="N34" i="4" s="1"/>
  <c r="M33" i="4" a="1"/>
  <c r="M33" i="4" s="1"/>
  <c r="N33" i="4" a="1"/>
  <c r="N33" i="4" s="1"/>
  <c r="O32" i="4"/>
  <c r="T32" i="4"/>
  <c r="Q32" i="4"/>
  <c r="V35" i="4"/>
  <c r="D37" i="4"/>
  <c r="I37" i="4" s="1" a="1"/>
  <c r="I37" i="4" s="1"/>
  <c r="M36" i="4" a="1"/>
  <c r="M36" i="4" s="1"/>
  <c r="F37" i="4"/>
  <c r="C39" i="4" a="1"/>
  <c r="C39" i="4" s="1"/>
  <c r="N35" i="4" s="1" a="1"/>
  <c r="N35" i="4" s="1"/>
  <c r="E38" i="4" a="1"/>
  <c r="E38" i="4" s="1"/>
  <c r="G38" i="4" a="1"/>
  <c r="G38" i="4" s="1"/>
  <c r="H38" i="4"/>
  <c r="J35" i="4" a="1"/>
  <c r="J35" i="4" s="1"/>
  <c r="I34" i="4" l="1" a="1"/>
  <c r="I34" i="4" s="1"/>
  <c r="K34" i="4" s="1" a="1"/>
  <c r="K34" i="4" s="1"/>
  <c r="D35" i="4"/>
  <c r="I35" i="4" s="1" a="1"/>
  <c r="I35" i="4" s="1"/>
  <c r="K35" i="4" s="1" a="1"/>
  <c r="K35" i="4" s="1"/>
  <c r="M34" i="4" a="1"/>
  <c r="M34" i="4" s="1"/>
  <c r="V33" i="4"/>
  <c r="O33" i="4"/>
  <c r="Q33" i="4"/>
  <c r="T33" i="4"/>
  <c r="O35" i="4"/>
  <c r="Q35" i="4"/>
  <c r="T35" i="4"/>
  <c r="V36" i="4"/>
  <c r="D38" i="4"/>
  <c r="I38" i="4" s="1" a="1"/>
  <c r="I38" i="4" s="1"/>
  <c r="M37" i="4" a="1"/>
  <c r="M37" i="4" s="1"/>
  <c r="V37" i="4" s="1"/>
  <c r="F38" i="4"/>
  <c r="C40" i="4" a="1"/>
  <c r="C40" i="4" s="1"/>
  <c r="N36" i="4" s="1" a="1"/>
  <c r="N36" i="4" s="1"/>
  <c r="T36" i="4" s="1"/>
  <c r="E39" i="4" a="1"/>
  <c r="E39" i="4" s="1"/>
  <c r="G39" i="4" a="1"/>
  <c r="G39" i="4" s="1"/>
  <c r="H39" i="4"/>
  <c r="J36" i="4" a="1"/>
  <c r="J36" i="4" s="1"/>
  <c r="K36" i="4" s="1" a="1"/>
  <c r="K36" i="4" s="1"/>
  <c r="P25" i="4"/>
  <c r="P23" i="4"/>
  <c r="P28" i="4"/>
  <c r="P24" i="4"/>
  <c r="P31" i="4"/>
  <c r="P30" i="4"/>
  <c r="P22" i="4"/>
  <c r="P26" i="4"/>
  <c r="P27" i="4"/>
  <c r="V34" i="4" l="1"/>
  <c r="O34" i="4"/>
  <c r="T34" i="4"/>
  <c r="Q34" i="4"/>
  <c r="Q36" i="4"/>
  <c r="O36" i="4"/>
  <c r="D39" i="4"/>
  <c r="I39" i="4" s="1" a="1"/>
  <c r="I39" i="4" s="1"/>
  <c r="M38" i="4" a="1"/>
  <c r="M38" i="4" s="1"/>
  <c r="F39" i="4"/>
  <c r="C41" i="4" a="1"/>
  <c r="C41" i="4" s="1"/>
  <c r="N37" i="4" s="1" a="1"/>
  <c r="N37" i="4" s="1"/>
  <c r="E40" i="4" a="1"/>
  <c r="E40" i="4" s="1"/>
  <c r="G40" i="4" a="1"/>
  <c r="G40" i="4" s="1"/>
  <c r="H40" i="4"/>
  <c r="J37" i="4" a="1"/>
  <c r="J37" i="4" s="1"/>
  <c r="K37" i="4" s="1" a="1"/>
  <c r="K37" i="4" s="1"/>
  <c r="P33" i="4"/>
  <c r="P32" i="4"/>
  <c r="O37" i="4" l="1"/>
  <c r="T37" i="4"/>
  <c r="Q37" i="4"/>
  <c r="V38" i="4"/>
  <c r="D40" i="4"/>
  <c r="I40" i="4" s="1" a="1"/>
  <c r="I40" i="4" s="1"/>
  <c r="M39" i="4" a="1"/>
  <c r="M39" i="4" s="1"/>
  <c r="F40" i="4"/>
  <c r="C42" i="4" a="1"/>
  <c r="C42" i="4" s="1"/>
  <c r="N38" i="4" s="1" a="1"/>
  <c r="N38" i="4" s="1"/>
  <c r="E41" i="4" a="1"/>
  <c r="E41" i="4" s="1"/>
  <c r="H41" i="4"/>
  <c r="G41" i="4" a="1"/>
  <c r="G41" i="4" s="1"/>
  <c r="J38" i="4" a="1"/>
  <c r="J38" i="4" s="1"/>
  <c r="K38" i="4" s="1" a="1"/>
  <c r="K38" i="4" s="1"/>
  <c r="P34" i="4"/>
  <c r="T38" i="4" l="1"/>
  <c r="O38" i="4"/>
  <c r="Q38" i="4"/>
  <c r="N39" i="4" a="1"/>
  <c r="N39" i="4" s="1"/>
  <c r="Q39" i="4" s="1"/>
  <c r="T39" i="4"/>
  <c r="O39" i="4"/>
  <c r="V39" i="4"/>
  <c r="D41" i="4"/>
  <c r="I41" i="4" s="1" a="1"/>
  <c r="I41" i="4" s="1"/>
  <c r="M40" i="4" a="1"/>
  <c r="M40" i="4" s="1"/>
  <c r="V40" i="4" s="1"/>
  <c r="F41" i="4"/>
  <c r="C43" i="4" a="1"/>
  <c r="C43" i="4" s="1"/>
  <c r="H42" i="4"/>
  <c r="G42" i="4" a="1"/>
  <c r="G42" i="4" s="1"/>
  <c r="E42" i="4" a="1"/>
  <c r="E42" i="4" s="1"/>
  <c r="J39" i="4" a="1"/>
  <c r="J39" i="4" s="1"/>
  <c r="K39" i="4" s="1" a="1"/>
  <c r="K39" i="4" s="1"/>
  <c r="P35" i="4"/>
  <c r="D42" i="4" l="1"/>
  <c r="I42" i="4" s="1" a="1"/>
  <c r="I42" i="4" s="1"/>
  <c r="M41" i="4" a="1"/>
  <c r="M41" i="4" s="1"/>
  <c r="V41" i="4" s="1"/>
  <c r="F42" i="4"/>
  <c r="C44" i="4" a="1"/>
  <c r="C44" i="4" s="1"/>
  <c r="N40" i="4" s="1" a="1"/>
  <c r="N40" i="4" s="1"/>
  <c r="H43" i="4"/>
  <c r="G43" i="4" a="1"/>
  <c r="G43" i="4" s="1"/>
  <c r="E43" i="4" a="1"/>
  <c r="E43" i="4" s="1"/>
  <c r="J40" i="4" a="1"/>
  <c r="J40" i="4" s="1"/>
  <c r="K40" i="4" s="1" a="1"/>
  <c r="K40" i="4" s="1"/>
  <c r="P36" i="4"/>
  <c r="Q40" i="4" l="1"/>
  <c r="O40" i="4"/>
  <c r="T40" i="4"/>
  <c r="N41" i="4" a="1"/>
  <c r="N41" i="4" s="1"/>
  <c r="T41" i="4" s="1"/>
  <c r="D43" i="4"/>
  <c r="I43" i="4" s="1" a="1"/>
  <c r="I43" i="4" s="1"/>
  <c r="M42" i="4" a="1"/>
  <c r="M42" i="4" s="1"/>
  <c r="N42" i="4" a="1"/>
  <c r="N42" i="4" s="1"/>
  <c r="F43" i="4"/>
  <c r="C45" i="4" a="1"/>
  <c r="C45" i="4" s="1"/>
  <c r="H44" i="4"/>
  <c r="E44" i="4" a="1"/>
  <c r="E44" i="4" s="1"/>
  <c r="G44" i="4" a="1"/>
  <c r="G44" i="4" s="1"/>
  <c r="J41" i="4" a="1"/>
  <c r="J41" i="4" s="1"/>
  <c r="K41" i="4" s="1" a="1"/>
  <c r="K41" i="4" s="1"/>
  <c r="P37" i="4"/>
  <c r="T42" i="4" l="1"/>
  <c r="O42" i="4"/>
  <c r="Q42" i="4"/>
  <c r="V42" i="4"/>
  <c r="O41" i="4"/>
  <c r="Q41" i="4"/>
  <c r="T43" i="4"/>
  <c r="V43" i="4"/>
  <c r="D44" i="4"/>
  <c r="I44" i="4" s="1" a="1"/>
  <c r="I44" i="4" s="1"/>
  <c r="N43" i="4" a="1"/>
  <c r="N43" i="4" s="1"/>
  <c r="M43" i="4" a="1"/>
  <c r="M43" i="4" s="1"/>
  <c r="O43" i="4" s="1"/>
  <c r="F44" i="4"/>
  <c r="C46" i="4" a="1"/>
  <c r="C46" i="4" s="1"/>
  <c r="H45" i="4"/>
  <c r="E45" i="4" a="1"/>
  <c r="E45" i="4" s="1"/>
  <c r="G45" i="4" a="1"/>
  <c r="G45" i="4" s="1"/>
  <c r="J42" i="4" a="1"/>
  <c r="J42" i="4" s="1"/>
  <c r="K42" i="4" s="1" a="1"/>
  <c r="K42" i="4" s="1"/>
  <c r="P39" i="4"/>
  <c r="P38" i="4"/>
  <c r="Q43" i="4" l="1"/>
  <c r="V44" i="4"/>
  <c r="T44" i="4"/>
  <c r="Q44" i="4"/>
  <c r="M44" i="4" a="1"/>
  <c r="M44" i="4" s="1"/>
  <c r="O44" i="4" s="1"/>
  <c r="N44" i="4" a="1"/>
  <c r="N44" i="4" s="1"/>
  <c r="L45" i="4" a="1"/>
  <c r="L45" i="4" s="1"/>
  <c r="D45" i="4"/>
  <c r="I45" i="4" s="1" a="1"/>
  <c r="I45" i="4" s="1"/>
  <c r="K45" i="4" s="1" a="1"/>
  <c r="K45" i="4" s="1"/>
  <c r="F45" i="4"/>
  <c r="C47" i="4" a="1"/>
  <c r="C47" i="4" s="1"/>
  <c r="H46" i="4"/>
  <c r="E46" i="4" a="1"/>
  <c r="E46" i="4" s="1"/>
  <c r="G46" i="4" a="1"/>
  <c r="G46" i="4" s="1"/>
  <c r="J43" i="4" a="1"/>
  <c r="J43" i="4" s="1"/>
  <c r="K43" i="4" s="1" a="1"/>
  <c r="K43" i="4" s="1"/>
  <c r="K46" i="4" l="1" a="1"/>
  <c r="K46" i="4" s="1"/>
  <c r="AB46" i="4"/>
  <c r="AD46" i="4"/>
  <c r="AC46" i="4"/>
  <c r="AA46" i="4"/>
  <c r="Z46" i="4"/>
  <c r="Y46" i="4"/>
  <c r="V45" i="4"/>
  <c r="R45" i="4"/>
  <c r="U45" i="4"/>
  <c r="S45" i="4"/>
  <c r="W45" i="4"/>
  <c r="T45" i="4"/>
  <c r="Q45" i="4"/>
  <c r="X45" i="4"/>
  <c r="L46" i="4" a="1"/>
  <c r="L46" i="4" s="1"/>
  <c r="D46" i="4"/>
  <c r="I46" i="4" s="1" a="1"/>
  <c r="I46" i="4" s="1"/>
  <c r="N45" i="4" a="1"/>
  <c r="N45" i="4" s="1"/>
  <c r="P45" i="4"/>
  <c r="O45" i="4"/>
  <c r="M45" i="4" a="1"/>
  <c r="M45" i="4" s="1"/>
  <c r="F46" i="4"/>
  <c r="C48" i="4" a="1"/>
  <c r="C48" i="4" s="1"/>
  <c r="E47" i="4" a="1"/>
  <c r="E47" i="4" s="1"/>
  <c r="H47" i="4"/>
  <c r="G47" i="4" a="1"/>
  <c r="G47" i="4" s="1"/>
  <c r="J44" i="4" a="1"/>
  <c r="J44" i="4" s="1"/>
  <c r="K44" i="4" s="1" a="1"/>
  <c r="K44" i="4" s="1"/>
  <c r="P43" i="4"/>
  <c r="P40" i="4"/>
  <c r="P42" i="4"/>
  <c r="P41" i="4"/>
  <c r="AB47" i="4" l="1"/>
  <c r="AD47" i="4"/>
  <c r="AC47" i="4"/>
  <c r="AA47" i="4"/>
  <c r="Z47" i="4"/>
  <c r="Y47" i="4"/>
  <c r="K47" i="4" a="1"/>
  <c r="K47" i="4" s="1"/>
  <c r="X46" i="4"/>
  <c r="U46" i="4"/>
  <c r="R46" i="4"/>
  <c r="V46" i="4"/>
  <c r="S46" i="4"/>
  <c r="W46" i="4"/>
  <c r="T46" i="4"/>
  <c r="Q46" i="4"/>
  <c r="L47" i="4" a="1"/>
  <c r="L47" i="4" s="1"/>
  <c r="D47" i="4"/>
  <c r="I47" i="4" s="1" a="1"/>
  <c r="I47" i="4" s="1"/>
  <c r="N46" i="4" a="1"/>
  <c r="N46" i="4" s="1"/>
  <c r="P46" i="4"/>
  <c r="M46" i="4" a="1"/>
  <c r="M46" i="4" s="1"/>
  <c r="O46" i="4"/>
  <c r="F47" i="4"/>
  <c r="C49" i="4" a="1"/>
  <c r="C49" i="4" s="1"/>
  <c r="G48" i="4" a="1"/>
  <c r="G48" i="4" s="1"/>
  <c r="H48" i="4"/>
  <c r="E48" i="4" a="1"/>
  <c r="E48" i="4" s="1"/>
  <c r="J45" i="4" a="1"/>
  <c r="J45" i="4" s="1"/>
  <c r="P44" i="4"/>
  <c r="Y48" i="4" l="1"/>
  <c r="AB48" i="4"/>
  <c r="AD48" i="4"/>
  <c r="AC48" i="4"/>
  <c r="AA48" i="4"/>
  <c r="Z48" i="4"/>
  <c r="V47" i="4"/>
  <c r="X47" i="4"/>
  <c r="U47" i="4"/>
  <c r="R47" i="4"/>
  <c r="S47" i="4"/>
  <c r="W47" i="4"/>
  <c r="T47" i="4"/>
  <c r="Q47" i="4"/>
  <c r="K48" i="4" a="1"/>
  <c r="K48" i="4" s="1"/>
  <c r="O47" i="4"/>
  <c r="N47" i="4" a="1"/>
  <c r="N47" i="4" s="1"/>
  <c r="M47" i="4" a="1"/>
  <c r="M47" i="4" s="1"/>
  <c r="P47" i="4"/>
  <c r="D48" i="4"/>
  <c r="I48" i="4" s="1" a="1"/>
  <c r="I48" i="4" s="1"/>
  <c r="L48" i="4" a="1"/>
  <c r="L48" i="4" s="1"/>
  <c r="F48" i="4"/>
  <c r="C50" i="4" a="1"/>
  <c r="C50" i="4" s="1"/>
  <c r="G49" i="4" a="1"/>
  <c r="G49" i="4" s="1"/>
  <c r="H49" i="4"/>
  <c r="J46" i="4" a="1"/>
  <c r="J46" i="4" s="1"/>
  <c r="K49" i="4" l="1" a="1"/>
  <c r="K49" i="4" s="1"/>
  <c r="S48" i="4"/>
  <c r="U48" i="4"/>
  <c r="V48" i="4"/>
  <c r="X48" i="4"/>
  <c r="R48" i="4"/>
  <c r="Q48" i="4"/>
  <c r="W48" i="4"/>
  <c r="T48" i="4"/>
  <c r="AB49" i="4"/>
  <c r="AC49" i="4"/>
  <c r="AA49" i="4"/>
  <c r="Z49" i="4"/>
  <c r="Y49" i="4"/>
  <c r="AD49" i="4"/>
  <c r="O48" i="4"/>
  <c r="M48" i="4" a="1"/>
  <c r="M48" i="4" s="1"/>
  <c r="P48" i="4"/>
  <c r="N48" i="4" a="1"/>
  <c r="N48" i="4" s="1"/>
  <c r="L49" i="4" a="1"/>
  <c r="L49" i="4" s="1"/>
  <c r="D49" i="4"/>
  <c r="I49" i="4" s="1" a="1"/>
  <c r="I49" i="4" s="1"/>
  <c r="F49" i="4"/>
  <c r="C51" i="4" a="1"/>
  <c r="C51" i="4" s="1"/>
  <c r="H50" i="4"/>
  <c r="G50" i="4" a="1"/>
  <c r="G50" i="4" s="1"/>
  <c r="J47" i="4" a="1"/>
  <c r="J47" i="4" s="1"/>
  <c r="AB50" i="4" l="1"/>
  <c r="AD50" i="4"/>
  <c r="AC50" i="4"/>
  <c r="AA50" i="4"/>
  <c r="Z50" i="4"/>
  <c r="Y50" i="4"/>
  <c r="T49" i="4"/>
  <c r="X49" i="4"/>
  <c r="U49" i="4"/>
  <c r="S49" i="4"/>
  <c r="V49" i="4"/>
  <c r="R49" i="4"/>
  <c r="Q49" i="4"/>
  <c r="W49" i="4"/>
  <c r="K50" i="4" a="1"/>
  <c r="K50" i="4" s="1"/>
  <c r="L50" i="4" a="1"/>
  <c r="L50" i="4" s="1"/>
  <c r="D50" i="4"/>
  <c r="I50" i="4" s="1" a="1"/>
  <c r="I50" i="4" s="1"/>
  <c r="O49" i="4"/>
  <c r="P49" i="4"/>
  <c r="M49" i="4" a="1"/>
  <c r="M49" i="4" s="1"/>
  <c r="N49" i="4" a="1"/>
  <c r="N49" i="4" s="1"/>
  <c r="F50" i="4"/>
  <c r="C52" i="4" a="1"/>
  <c r="C52" i="4" s="1"/>
  <c r="H51" i="4"/>
  <c r="G51" i="4" a="1"/>
  <c r="G51" i="4" s="1"/>
  <c r="J48" i="4" a="1"/>
  <c r="J48" i="4" s="1"/>
  <c r="K51" i="4" l="1" a="1"/>
  <c r="K51" i="4" s="1"/>
  <c r="Y51" i="4"/>
  <c r="AA51" i="4"/>
  <c r="Z51" i="4"/>
  <c r="AB51" i="4"/>
  <c r="AC51" i="4"/>
  <c r="AD51" i="4"/>
  <c r="S50" i="4"/>
  <c r="T50" i="4"/>
  <c r="U50" i="4"/>
  <c r="V50" i="4"/>
  <c r="R50" i="4"/>
  <c r="Q50" i="4"/>
  <c r="W50" i="4"/>
  <c r="X50" i="4"/>
  <c r="P50" i="4"/>
  <c r="N50" i="4" a="1"/>
  <c r="N50" i="4" s="1"/>
  <c r="M50" i="4" a="1"/>
  <c r="M50" i="4" s="1"/>
  <c r="O50" i="4"/>
  <c r="L51" i="4" a="1"/>
  <c r="L51" i="4" s="1"/>
  <c r="D51" i="4"/>
  <c r="I51" i="4" s="1" a="1"/>
  <c r="I51" i="4" s="1"/>
  <c r="F51" i="4"/>
  <c r="C53" i="4" a="1"/>
  <c r="C53" i="4" s="1"/>
  <c r="G52" i="4" a="1"/>
  <c r="G52" i="4" s="1"/>
  <c r="H52" i="4"/>
  <c r="J49" i="4" a="1"/>
  <c r="J49" i="4" s="1"/>
  <c r="K52" i="4" l="1" a="1"/>
  <c r="K52" i="4" s="1"/>
  <c r="T51" i="4"/>
  <c r="S51" i="4"/>
  <c r="Q51" i="4"/>
  <c r="U51" i="4"/>
  <c r="V51" i="4"/>
  <c r="R51" i="4"/>
  <c r="X51" i="4"/>
  <c r="W51" i="4"/>
  <c r="Y52" i="4"/>
  <c r="AC52" i="4"/>
  <c r="AA52" i="4"/>
  <c r="Z52" i="4"/>
  <c r="AB52" i="4"/>
  <c r="AD52" i="4"/>
  <c r="L52" i="4" a="1"/>
  <c r="L52" i="4" s="1"/>
  <c r="D52" i="4"/>
  <c r="I52" i="4" s="1" a="1"/>
  <c r="I52" i="4" s="1"/>
  <c r="P51" i="4"/>
  <c r="N51" i="4" a="1"/>
  <c r="N51" i="4" s="1"/>
  <c r="M51" i="4" a="1"/>
  <c r="M51" i="4" s="1"/>
  <c r="O51" i="4"/>
  <c r="F52" i="4"/>
  <c r="C54" i="4" a="1"/>
  <c r="C54" i="4" s="1"/>
  <c r="E53" i="4" a="1"/>
  <c r="E53" i="4" s="1"/>
  <c r="G53" i="4" a="1"/>
  <c r="G53" i="4" s="1"/>
  <c r="H53" i="4"/>
  <c r="J50" i="4" a="1"/>
  <c r="J50" i="4" s="1"/>
  <c r="K53" i="4" l="1" a="1"/>
  <c r="K53" i="4" s="1"/>
  <c r="Q52" i="4"/>
  <c r="T52" i="4"/>
  <c r="W52" i="4"/>
  <c r="U52" i="4"/>
  <c r="V52" i="4"/>
  <c r="S52" i="4"/>
  <c r="R52" i="4"/>
  <c r="X52" i="4"/>
  <c r="AC53" i="4"/>
  <c r="AA53" i="4"/>
  <c r="Z53" i="4"/>
  <c r="Y53" i="4"/>
  <c r="AB53" i="4"/>
  <c r="AD53" i="4"/>
  <c r="L53" i="4" a="1"/>
  <c r="L53" i="4" s="1"/>
  <c r="D53" i="4"/>
  <c r="I53" i="4" s="1" a="1"/>
  <c r="I53" i="4" s="1"/>
  <c r="O52" i="4"/>
  <c r="M52" i="4" a="1"/>
  <c r="M52" i="4" s="1"/>
  <c r="P52" i="4"/>
  <c r="N52" i="4" a="1"/>
  <c r="N52" i="4" s="1"/>
  <c r="F53" i="4"/>
  <c r="C55" i="4" a="1"/>
  <c r="C55" i="4" s="1"/>
  <c r="H54" i="4"/>
  <c r="G54" i="4" a="1"/>
  <c r="G54" i="4" s="1"/>
  <c r="E54" i="4" a="1"/>
  <c r="E54" i="4" s="1"/>
  <c r="J51" i="4" a="1"/>
  <c r="J51" i="4" s="1"/>
  <c r="AD54" i="4" l="1"/>
  <c r="AC54" i="4"/>
  <c r="AA54" i="4"/>
  <c r="Z54" i="4"/>
  <c r="AB54" i="4"/>
  <c r="Y54" i="4"/>
  <c r="W53" i="4"/>
  <c r="Q53" i="4"/>
  <c r="X53" i="4"/>
  <c r="U53" i="4"/>
  <c r="V53" i="4"/>
  <c r="S53" i="4"/>
  <c r="T53" i="4"/>
  <c r="R53" i="4"/>
  <c r="K54" i="4" a="1"/>
  <c r="K54" i="4" s="1"/>
  <c r="D54" i="4"/>
  <c r="I54" i="4" s="1" a="1"/>
  <c r="I54" i="4" s="1"/>
  <c r="L54" i="4" a="1"/>
  <c r="L54" i="4" s="1"/>
  <c r="P53" i="4"/>
  <c r="N53" i="4" a="1"/>
  <c r="N53" i="4" s="1"/>
  <c r="O53" i="4"/>
  <c r="M53" i="4" a="1"/>
  <c r="M53" i="4" s="1"/>
  <c r="F54" i="4"/>
  <c r="C56" i="4" a="1"/>
  <c r="C56" i="4" s="1"/>
  <c r="H55" i="4"/>
  <c r="G55" i="4" a="1"/>
  <c r="G55" i="4" s="1"/>
  <c r="E55" i="4" a="1"/>
  <c r="E55" i="4" s="1"/>
  <c r="J52" i="4" a="1"/>
  <c r="J52" i="4" s="1"/>
  <c r="N21" i="4" l="1" a="1"/>
  <c r="N21" i="4" s="1"/>
  <c r="T21" i="4" s="1"/>
  <c r="N29" i="4" a="1"/>
  <c r="N29" i="4" s="1"/>
  <c r="AD55" i="4"/>
  <c r="AC55" i="4"/>
  <c r="AA55" i="4"/>
  <c r="AB55" i="4"/>
  <c r="Y55" i="4"/>
  <c r="Z55" i="4"/>
  <c r="Q54" i="4"/>
  <c r="W54" i="4"/>
  <c r="X54" i="4"/>
  <c r="U54" i="4"/>
  <c r="V54" i="4"/>
  <c r="S54" i="4"/>
  <c r="T54" i="4"/>
  <c r="R54" i="4"/>
  <c r="K55" i="4" a="1"/>
  <c r="K55" i="4" s="1"/>
  <c r="D55" i="4"/>
  <c r="I55" i="4" s="1" a="1"/>
  <c r="I55" i="4" s="1"/>
  <c r="L55" i="4" a="1"/>
  <c r="L55" i="4" s="1"/>
  <c r="M54" i="4" a="1"/>
  <c r="M54" i="4" s="1"/>
  <c r="O54" i="4"/>
  <c r="P54" i="4"/>
  <c r="N54" i="4" a="1"/>
  <c r="N54" i="4" s="1"/>
  <c r="F55" i="4"/>
  <c r="H56" i="4"/>
  <c r="G56" i="4" a="1"/>
  <c r="G56" i="4" s="1"/>
  <c r="E56" i="4" a="1"/>
  <c r="E56" i="4" s="1"/>
  <c r="J53" i="4" a="1"/>
  <c r="J53" i="4" s="1"/>
  <c r="K56" i="4" l="1" a="1"/>
  <c r="K56" i="4" s="1"/>
  <c r="O21" i="4"/>
  <c r="O29" i="4"/>
  <c r="T29" i="4"/>
  <c r="Q29" i="4"/>
  <c r="Q21" i="4"/>
  <c r="AB56" i="4"/>
  <c r="AD56" i="4"/>
  <c r="AC56" i="4"/>
  <c r="AA56" i="4"/>
  <c r="Z56" i="4"/>
  <c r="Y56" i="4"/>
  <c r="R55" i="4"/>
  <c r="Q55" i="4"/>
  <c r="W55" i="4"/>
  <c r="X55" i="4"/>
  <c r="U55" i="4"/>
  <c r="S55" i="4"/>
  <c r="V55" i="4"/>
  <c r="T55" i="4"/>
  <c r="P55" i="4"/>
  <c r="O55" i="4"/>
  <c r="N55" i="4" a="1"/>
  <c r="N55" i="4" s="1"/>
  <c r="M55" i="4" a="1"/>
  <c r="M55" i="4" s="1"/>
  <c r="D56" i="4"/>
  <c r="I56" i="4" s="1" a="1"/>
  <c r="I56" i="4" s="1"/>
  <c r="L56" i="4" a="1"/>
  <c r="L56" i="4" s="1"/>
  <c r="F56" i="4"/>
  <c r="J54" i="4" a="1"/>
  <c r="J54" i="4" s="1"/>
  <c r="P21" i="4"/>
  <c r="P29" i="4"/>
  <c r="R56" i="4" l="1"/>
  <c r="W56" i="4"/>
  <c r="T56" i="4"/>
  <c r="Q56" i="4"/>
  <c r="X56" i="4"/>
  <c r="S56" i="4"/>
  <c r="V56" i="4"/>
  <c r="U56" i="4"/>
  <c r="P56" i="4"/>
  <c r="N56" i="4" a="1"/>
  <c r="N56" i="4" s="1"/>
  <c r="M56" i="4" a="1"/>
  <c r="M56" i="4" s="1"/>
  <c r="O56" i="4"/>
  <c r="J55" i="4" a="1"/>
  <c r="J55" i="4" s="1"/>
  <c r="L36" i="4" l="1" a="1"/>
  <c r="L36" i="4" s="1"/>
  <c r="L26" i="4" a="1"/>
  <c r="L26" i="4" s="1"/>
  <c r="U20" i="4" l="1"/>
  <c r="U19" i="4"/>
  <c r="U18" i="4"/>
  <c r="U14" i="4"/>
  <c r="U15" i="4"/>
  <c r="U16" i="4"/>
  <c r="U17" i="4"/>
  <c r="W19" i="4" l="1"/>
  <c r="W20" i="4"/>
  <c r="W18" i="4"/>
  <c r="W15" i="4"/>
  <c r="W17" i="4"/>
  <c r="W16" i="4"/>
  <c r="W14" i="4"/>
  <c r="X17" i="4" l="1"/>
  <c r="X16" i="4"/>
  <c r="X15" i="4"/>
  <c r="X14" i="4"/>
  <c r="X20" i="4"/>
  <c r="X18" i="4"/>
  <c r="X19" i="4"/>
  <c r="AA20" i="4"/>
  <c r="Z20" i="4"/>
  <c r="Y15" i="4" l="1"/>
  <c r="Y19" i="4"/>
  <c r="AA19" i="4"/>
  <c r="Z19" i="4"/>
  <c r="AI35" i="4"/>
  <c r="I42" i="5" a="1"/>
  <c r="I42" i="5" s="1"/>
  <c r="Y20" i="4"/>
  <c r="AB20" i="4"/>
  <c r="AD20" i="4"/>
  <c r="AC20" i="4"/>
  <c r="Y44" i="4"/>
  <c r="Y45" i="4"/>
  <c r="AC19" i="4" l="1"/>
  <c r="AB19" i="4"/>
  <c r="AD19" i="4"/>
  <c r="AJ22" i="4"/>
  <c r="L58" i="2" a="1"/>
  <c r="L58" i="2" l="1"/>
  <c r="L41" i="2" a="1"/>
  <c r="L41" i="2" l="1"/>
  <c r="Q58" i="2" a="1"/>
  <c r="L6" i="2" l="1"/>
  <c r="Q58" i="2"/>
  <c r="O58" i="2" a="1"/>
  <c r="O58" i="2" l="1"/>
  <c r="O41" i="2" a="1"/>
  <c r="O41" i="2" l="1"/>
  <c r="K58" i="2" a="1"/>
  <c r="O6" i="2" l="1"/>
  <c r="K58" i="2"/>
  <c r="K41" i="2" a="1"/>
  <c r="K41" i="2" l="1"/>
  <c r="J58" i="2" a="1"/>
  <c r="K6" i="2" l="1"/>
  <c r="J58" i="2"/>
  <c r="J41" i="2" a="1"/>
  <c r="J41" i="2" l="1"/>
  <c r="F58" i="2" a="1"/>
  <c r="J6" i="2" l="1"/>
  <c r="F58" i="2"/>
  <c r="N58" i="2" a="1"/>
  <c r="N58" i="2" l="1"/>
  <c r="N41" i="2" a="1"/>
  <c r="N41" i="2" l="1"/>
  <c r="M58" i="2" a="1"/>
  <c r="N6" i="2" l="1"/>
  <c r="M58" i="2"/>
  <c r="M41" i="2" a="1"/>
  <c r="M41" i="2" l="1"/>
  <c r="H58" i="2" a="1"/>
  <c r="M6" i="2" l="1"/>
  <c r="H58" i="2"/>
  <c r="H41" i="2" a="1"/>
  <c r="H41" i="2" l="1"/>
  <c r="I58" i="2" a="1"/>
  <c r="H6" i="2" l="1"/>
  <c r="I58" i="2"/>
  <c r="I41" i="2" a="1"/>
  <c r="L41" i="4" l="1" a="1"/>
  <c r="L41" i="4" s="1"/>
  <c r="L42" i="4" a="1"/>
  <c r="L42" i="4" s="1"/>
  <c r="I41" i="2"/>
  <c r="P58" i="2" a="1"/>
  <c r="L33" i="4" l="1" a="1"/>
  <c r="L33" i="4" s="1"/>
  <c r="I6" i="2"/>
  <c r="P58" i="2"/>
  <c r="P41" i="2" a="1"/>
  <c r="P41" i="2" l="1"/>
  <c r="G58" i="2" a="1"/>
  <c r="P6" i="2" l="1"/>
  <c r="G58" i="2"/>
  <c r="G41" i="2" a="1"/>
  <c r="G41" i="2" l="1"/>
  <c r="Q41" i="2" a="1"/>
  <c r="G6" i="2" l="1"/>
  <c r="Q41" i="2"/>
  <c r="CA58" i="2" a="1"/>
  <c r="Q7" i="2" l="1"/>
  <c r="Q6" i="2" s="1"/>
  <c r="CA58" i="2"/>
  <c r="DR58" i="2" a="1"/>
  <c r="DR58" i="2" l="1"/>
  <c r="AC41" i="2" a="1"/>
  <c r="AC41" i="2" l="1"/>
  <c r="Q97" i="5" s="1" a="1"/>
  <c r="Q97" i="5" s="1"/>
  <c r="AQ58" i="2" a="1"/>
  <c r="Y97" i="5" l="1"/>
  <c r="S97" i="5"/>
  <c r="R97" i="5"/>
  <c r="AQ58" i="2"/>
  <c r="CL41" i="2" a="1"/>
  <c r="AC97" i="5" l="1"/>
  <c r="W97" i="5"/>
  <c r="AD97" i="5"/>
  <c r="X97" i="5"/>
  <c r="CL41" i="2"/>
  <c r="CQ58" i="2" a="1"/>
  <c r="CQ58" i="2" l="1"/>
  <c r="AP58" i="2" a="1"/>
  <c r="AP58" i="2" l="1"/>
  <c r="DG58" i="2" a="1"/>
  <c r="DG58" i="2" l="1"/>
  <c r="DD41" i="2" a="1"/>
  <c r="DD41" i="2" l="1"/>
  <c r="AJ41" i="2" a="1"/>
  <c r="AJ41" i="2" l="1"/>
  <c r="AR41" i="2" a="1"/>
  <c r="AR41" i="2" l="1"/>
  <c r="Y41" i="2" a="1"/>
  <c r="Y41" i="2" l="1"/>
  <c r="Q81" i="5" s="1" a="1"/>
  <c r="Q81" i="5" s="1"/>
  <c r="Y58" i="2" a="1"/>
  <c r="Y81" i="5" l="1"/>
  <c r="S81" i="5"/>
  <c r="R81" i="5"/>
  <c r="Y58" i="2"/>
  <c r="CV41" i="2" a="1"/>
  <c r="Y7" i="2" l="1"/>
  <c r="Y6" i="2" s="1"/>
  <c r="Q82" i="5" a="1"/>
  <c r="Q82" i="5" s="1"/>
  <c r="AC81" i="5"/>
  <c r="AD81" i="5"/>
  <c r="W81" i="5"/>
  <c r="X81" i="5"/>
  <c r="CV41" i="2"/>
  <c r="AY41" i="2" a="1"/>
  <c r="Y82" i="5" l="1"/>
  <c r="S82" i="5"/>
  <c r="R82" i="5"/>
  <c r="AY41" i="2"/>
  <c r="BS41" i="2" a="1"/>
  <c r="AC82" i="5" l="1"/>
  <c r="W82" i="5"/>
  <c r="AD82" i="5"/>
  <c r="X82" i="5"/>
  <c r="BS41" i="2"/>
  <c r="BC41" i="2" a="1"/>
  <c r="BC41" i="2" l="1"/>
  <c r="DX41" i="2" a="1"/>
  <c r="DX41" i="2" l="1"/>
  <c r="CS41" i="2" a="1"/>
  <c r="CS41" i="2" l="1"/>
  <c r="BM41" i="2" a="1"/>
  <c r="BM41" i="2" l="1"/>
  <c r="BM58" i="2" a="1"/>
  <c r="BM58" i="2" l="1"/>
  <c r="BM7" i="2" s="1"/>
  <c r="BM6" i="2" s="1"/>
  <c r="BF58" i="2" a="1"/>
  <c r="BF58" i="2" l="1"/>
  <c r="BI41" i="2" a="1"/>
  <c r="BI41" i="2" l="1"/>
  <c r="DJ41" i="2" a="1"/>
  <c r="DJ41" i="2" l="1"/>
  <c r="AN58" i="2" a="1"/>
  <c r="AN58" i="2" l="1"/>
  <c r="BO41" i="2" a="1"/>
  <c r="BO41" i="2" l="1"/>
  <c r="AY58" i="2" a="1"/>
  <c r="AY58" i="2" l="1"/>
  <c r="AY7" i="2" s="1"/>
  <c r="AY6" i="2" s="1"/>
  <c r="BT58" i="2" a="1"/>
  <c r="BT58" i="2" l="1"/>
  <c r="AM58" i="2" a="1"/>
  <c r="AM58" i="2" l="1"/>
  <c r="BD58" i="2" a="1"/>
  <c r="BD58" i="2" l="1"/>
  <c r="CO58" i="2" a="1"/>
  <c r="CO58" i="2" l="1"/>
  <c r="S41" i="2" a="1"/>
  <c r="S41" i="2" l="1"/>
  <c r="Q57" i="5" s="1" a="1"/>
  <c r="Q57" i="5" s="1"/>
  <c r="BI58" i="2" a="1"/>
  <c r="R57" i="5" l="1"/>
  <c r="S57" i="5"/>
  <c r="Y57" i="5"/>
  <c r="BI58" i="2"/>
  <c r="DK41" i="2" a="1"/>
  <c r="AC57" i="5" l="1"/>
  <c r="AD57" i="5"/>
  <c r="W57" i="5"/>
  <c r="X57" i="5"/>
  <c r="DK41" i="2"/>
  <c r="BZ41" i="2" a="1"/>
  <c r="BZ41" i="2" l="1"/>
  <c r="CB41" i="2" a="1"/>
  <c r="CB41" i="2" l="1"/>
  <c r="AZ41" i="2" a="1"/>
  <c r="AZ41" i="2" l="1"/>
  <c r="AS58" i="2" a="1"/>
  <c r="AS58" i="2" l="1"/>
  <c r="DB41" i="2" a="1"/>
  <c r="DB41" i="2" l="1"/>
  <c r="V58" i="2" a="1"/>
  <c r="V58" i="2" l="1"/>
  <c r="Q70" i="5" s="1" a="1"/>
  <c r="Q70" i="5" s="1"/>
  <c r="BL58" i="2" a="1"/>
  <c r="Y70" i="5" l="1"/>
  <c r="S70" i="5"/>
  <c r="R70" i="5"/>
  <c r="BL58" i="2"/>
  <c r="CC58" i="2" a="1"/>
  <c r="AD70" i="5" l="1"/>
  <c r="W70" i="5"/>
  <c r="AC70" i="5"/>
  <c r="X70" i="5"/>
  <c r="CC58" i="2"/>
  <c r="BW41" i="2" a="1"/>
  <c r="BW41" i="2" l="1"/>
  <c r="AM41" i="2" a="1"/>
  <c r="AM41" i="2" l="1"/>
  <c r="AM7" i="2" s="1"/>
  <c r="AM6" i="2" s="1"/>
  <c r="CD58" i="2" a="1"/>
  <c r="CD58" i="2" l="1"/>
  <c r="BQ41" i="2" a="1"/>
  <c r="BQ41" i="2" l="1"/>
  <c r="CV58" i="2" a="1"/>
  <c r="CV58" i="2" l="1"/>
  <c r="CV7" i="2" s="1"/>
  <c r="CV6" i="2" s="1"/>
  <c r="BF41" i="2" a="1"/>
  <c r="BF41" i="2" l="1"/>
  <c r="BF7" i="2" s="1"/>
  <c r="BF6" i="2" s="1"/>
  <c r="AA41" i="2" a="1"/>
  <c r="AA41" i="2" l="1"/>
  <c r="Q89" i="5" s="1" a="1"/>
  <c r="Q89" i="5" s="1"/>
  <c r="DT41" i="2" a="1"/>
  <c r="Y89" i="5" l="1"/>
  <c r="S89" i="5"/>
  <c r="R89" i="5"/>
  <c r="DT41" i="2"/>
  <c r="DV58" i="2" a="1"/>
  <c r="AC89" i="5" l="1"/>
  <c r="AD89" i="5"/>
  <c r="W89" i="5"/>
  <c r="X89" i="5"/>
  <c r="DV58" i="2"/>
  <c r="BC58" i="2" a="1"/>
  <c r="BC58" i="2" l="1"/>
  <c r="BC7" i="2" s="1"/>
  <c r="BC6" i="2" s="1"/>
  <c r="BA58" i="2" a="1"/>
  <c r="BA58" i="2" l="1"/>
  <c r="AH58" i="2" a="1"/>
  <c r="AH58" i="2" l="1"/>
  <c r="X41" i="2" a="1"/>
  <c r="X41" i="2" l="1"/>
  <c r="Q77" i="5" s="1" a="1"/>
  <c r="Q77" i="5" s="1"/>
  <c r="U58" i="2" a="1"/>
  <c r="Y77" i="5" l="1"/>
  <c r="R77" i="5"/>
  <c r="S77" i="5"/>
  <c r="U58" i="2"/>
  <c r="Q66" i="5" s="1" a="1"/>
  <c r="Q66" i="5" s="1"/>
  <c r="CH58" i="2" a="1"/>
  <c r="Y66" i="5" l="1"/>
  <c r="S66" i="5"/>
  <c r="R66" i="5"/>
  <c r="AC77" i="5"/>
  <c r="W77" i="5"/>
  <c r="AD77" i="5"/>
  <c r="X77" i="5"/>
  <c r="CH58" i="2"/>
  <c r="BX41" i="2" a="1"/>
  <c r="AC66" i="5" l="1"/>
  <c r="X66" i="5"/>
  <c r="AD66" i="5"/>
  <c r="W66" i="5"/>
  <c r="BX41" i="2"/>
  <c r="BT41" i="2" a="1"/>
  <c r="BT41" i="2" l="1"/>
  <c r="BT7" i="2" s="1"/>
  <c r="BT6" i="2" s="1"/>
  <c r="DW58" i="2" a="1"/>
  <c r="DW58" i="2" l="1"/>
  <c r="AV41" i="2" a="1"/>
  <c r="AV41" i="2" l="1"/>
  <c r="BD41" i="2" a="1"/>
  <c r="BD41" i="2" l="1"/>
  <c r="BD7" i="2" s="1"/>
  <c r="BD6" i="2" s="1"/>
  <c r="AN41" i="2" a="1"/>
  <c r="AN41" i="2" l="1"/>
  <c r="AN7" i="2" s="1"/>
  <c r="AN6" i="2" s="1"/>
  <c r="DC41" i="2" a="1"/>
  <c r="DC41" i="2" l="1"/>
  <c r="CF41" i="2" a="1"/>
  <c r="CF41" i="2" l="1"/>
  <c r="DA41" i="2" a="1"/>
  <c r="DA41" i="2" l="1"/>
  <c r="CD41" i="2" a="1"/>
  <c r="CD41" i="2" l="1"/>
  <c r="CD7" i="2" s="1"/>
  <c r="CD6" i="2" s="1"/>
  <c r="DA58" i="2" a="1"/>
  <c r="DA58" i="2" l="1"/>
  <c r="DA7" i="2" s="1"/>
  <c r="DA6" i="2" s="1"/>
  <c r="CP58" i="2" a="1"/>
  <c r="CP58" i="2" l="1"/>
  <c r="AO41" i="2" a="1"/>
  <c r="AO41" i="2" l="1"/>
  <c r="DP41" i="2" a="1"/>
  <c r="DP41" i="2" l="1"/>
  <c r="T58" i="2" a="1"/>
  <c r="T58" i="2" l="1"/>
  <c r="Q62" i="5" s="1" a="1"/>
  <c r="Q62" i="5" s="1"/>
  <c r="X58" i="2" a="1"/>
  <c r="Y62" i="5" l="1"/>
  <c r="S62" i="5"/>
  <c r="R62" i="5"/>
  <c r="X58" i="2"/>
  <c r="CI41" i="2" a="1"/>
  <c r="X7" i="2" l="1"/>
  <c r="X6" i="2" s="1"/>
  <c r="Q78" i="5" a="1"/>
  <c r="Q78" i="5" s="1"/>
  <c r="AD62" i="5"/>
  <c r="AC62" i="5"/>
  <c r="W62" i="5"/>
  <c r="X62" i="5"/>
  <c r="CI41" i="2"/>
  <c r="BK41" i="2" a="1"/>
  <c r="Y78" i="5" l="1"/>
  <c r="S78" i="5"/>
  <c r="R78" i="5"/>
  <c r="BK41" i="2"/>
  <c r="DQ41" i="2" a="1"/>
  <c r="AC78" i="5" l="1"/>
  <c r="W78" i="5"/>
  <c r="X78" i="5"/>
  <c r="AD78" i="5"/>
  <c r="DQ41" i="2"/>
  <c r="BY41" i="2" a="1"/>
  <c r="BY41" i="2" l="1"/>
  <c r="BJ41" i="2" a="1"/>
  <c r="BJ41" i="2" l="1"/>
  <c r="AS41" i="2" a="1"/>
  <c r="AS41" i="2" l="1"/>
  <c r="AS7" i="2" s="1"/>
  <c r="AS6" i="2" s="1"/>
  <c r="CY41" i="2" a="1"/>
  <c r="CY41" i="2" l="1"/>
  <c r="DE41" i="2" a="1"/>
  <c r="DE41" i="2" l="1"/>
  <c r="BK58" i="2" a="1"/>
  <c r="BK58" i="2" l="1"/>
  <c r="BK7" i="2" s="1"/>
  <c r="BK6" i="2" s="1"/>
  <c r="CT58" i="2" a="1"/>
  <c r="CT58" i="2" l="1"/>
  <c r="BA41" i="2" a="1"/>
  <c r="BA41" i="2" l="1"/>
  <c r="BA7" i="2" s="1"/>
  <c r="BA6" i="2" s="1"/>
  <c r="CR58" i="2" a="1"/>
  <c r="CR58" i="2" l="1"/>
  <c r="DI58" i="2" a="1"/>
  <c r="DI58" i="2" l="1"/>
  <c r="DK58" i="2" a="1"/>
  <c r="DK58" i="2" l="1"/>
  <c r="DK7" i="2" s="1"/>
  <c r="DK6" i="2" s="1"/>
  <c r="BE58" i="2" a="1"/>
  <c r="BE58" i="2" l="1"/>
  <c r="AE41" i="2" a="1"/>
  <c r="AE41" i="2" l="1"/>
  <c r="AH41" i="2" a="1"/>
  <c r="AH41" i="2" l="1"/>
  <c r="AH7" i="2" s="1"/>
  <c r="AH6" i="2" s="1"/>
  <c r="W58" i="2" a="1"/>
  <c r="W58" i="2" l="1"/>
  <c r="Q74" i="5" s="1" a="1"/>
  <c r="Q74" i="5" s="1"/>
  <c r="AL58" i="2" a="1"/>
  <c r="Y74" i="5" l="1"/>
  <c r="S74" i="5"/>
  <c r="R74" i="5"/>
  <c r="AL58" i="2"/>
  <c r="DP58" i="2" a="1"/>
  <c r="AC74" i="5" l="1"/>
  <c r="X74" i="5"/>
  <c r="AD74" i="5"/>
  <c r="W74" i="5"/>
  <c r="DP58" i="2"/>
  <c r="DP7" i="2" s="1"/>
  <c r="DP6" i="2" s="1"/>
  <c r="CA41" i="2" a="1"/>
  <c r="CA41" i="2" l="1"/>
  <c r="CA7" i="2" s="1"/>
  <c r="CA6" i="2" s="1"/>
  <c r="CN41" i="2" a="1"/>
  <c r="CN41" i="2" l="1"/>
  <c r="CU58" i="2" a="1"/>
  <c r="CU58" i="2" l="1"/>
  <c r="AO58" i="2" a="1"/>
  <c r="AO58" i="2" l="1"/>
  <c r="AO7" i="2" s="1"/>
  <c r="AO6" i="2" s="1"/>
  <c r="CS58" i="2" a="1"/>
  <c r="CS58" i="2" l="1"/>
  <c r="CS7" i="2" s="1"/>
  <c r="CS6" i="2" s="1"/>
  <c r="CZ41" i="2" a="1"/>
  <c r="CZ41" i="2" l="1"/>
  <c r="AA58" i="2" a="1"/>
  <c r="AA58" i="2" l="1"/>
  <c r="CG58" i="2" a="1"/>
  <c r="AA7" i="2" l="1"/>
  <c r="AA6" i="2" s="1"/>
  <c r="Q90" i="5" a="1"/>
  <c r="Q90" i="5" s="1"/>
  <c r="CG58" i="2"/>
  <c r="BE41" i="2" a="1"/>
  <c r="Y90" i="5" l="1"/>
  <c r="S90" i="5"/>
  <c r="R90" i="5"/>
  <c r="BE41" i="2"/>
  <c r="BE7" i="2" s="1"/>
  <c r="BE6" i="2" s="1"/>
  <c r="CM41" i="2" a="1"/>
  <c r="AC90" i="5" l="1"/>
  <c r="AD90" i="5"/>
  <c r="W90" i="5"/>
  <c r="X90" i="5"/>
  <c r="CM41" i="2"/>
  <c r="DU58" i="2" a="1"/>
  <c r="DU58" i="2" l="1"/>
  <c r="DS41" i="2" a="1"/>
  <c r="DS41" i="2" l="1"/>
  <c r="BG41" i="2" a="1"/>
  <c r="BG41" i="2" l="1"/>
  <c r="W41" i="2" a="1"/>
  <c r="W41" i="2" l="1"/>
  <c r="AK41" i="2" a="1"/>
  <c r="W7" i="2" l="1"/>
  <c r="W6" i="2" s="1"/>
  <c r="Q73" i="5" a="1"/>
  <c r="Q73" i="5" s="1"/>
  <c r="AK41" i="2"/>
  <c r="CO41" i="2" a="1"/>
  <c r="Y73" i="5" l="1"/>
  <c r="S73" i="5"/>
  <c r="R73" i="5"/>
  <c r="CO41" i="2"/>
  <c r="CO7" i="2" s="1"/>
  <c r="CO6" i="2" s="1"/>
  <c r="F41" i="2" a="1"/>
  <c r="AC73" i="5" l="1"/>
  <c r="AD73" i="5"/>
  <c r="W73" i="5"/>
  <c r="X73" i="5"/>
  <c r="F41" i="2"/>
  <c r="L35" i="4" s="1" a="1"/>
  <c r="L35" i="4" s="1"/>
  <c r="CQ41" i="2" a="1"/>
  <c r="F6" i="2" l="1"/>
  <c r="CQ41" i="2"/>
  <c r="CQ7" i="2" s="1"/>
  <c r="CQ6" i="2" s="1"/>
  <c r="BP41" i="2" a="1"/>
  <c r="BP41" i="2" l="1"/>
  <c r="CP41" i="2" a="1"/>
  <c r="CP41" i="2" l="1"/>
  <c r="CP7" i="2" s="1"/>
  <c r="CP6" i="2" s="1"/>
  <c r="U41" i="2" a="1"/>
  <c r="U41" i="2" l="1"/>
  <c r="Z58" i="2" a="1"/>
  <c r="U7" i="2" l="1"/>
  <c r="U6" i="2" s="1"/>
  <c r="Q65" i="5" a="1"/>
  <c r="Q65" i="5" s="1"/>
  <c r="Z58" i="2"/>
  <c r="Q86" i="5" s="1" a="1"/>
  <c r="Q86" i="5" s="1"/>
  <c r="DQ58" i="2" a="1"/>
  <c r="Y86" i="5" l="1"/>
  <c r="S86" i="5"/>
  <c r="R86" i="5"/>
  <c r="Y65" i="5"/>
  <c r="S65" i="5"/>
  <c r="R65" i="5"/>
  <c r="DQ58" i="2"/>
  <c r="DQ7" i="2" s="1"/>
  <c r="DQ6" i="2" s="1"/>
  <c r="AU41" i="2" a="1"/>
  <c r="AC65" i="5" l="1"/>
  <c r="AD65" i="5"/>
  <c r="W65" i="5"/>
  <c r="X65" i="5"/>
  <c r="AC86" i="5"/>
  <c r="AD86" i="5"/>
  <c r="W86" i="5"/>
  <c r="X86" i="5"/>
  <c r="AU41" i="2"/>
  <c r="DM58" i="2" a="1"/>
  <c r="DM58" i="2" l="1"/>
  <c r="CE41" i="2" a="1"/>
  <c r="CE41" i="2" l="1"/>
  <c r="BX58" i="2" a="1"/>
  <c r="BX58" i="2" l="1"/>
  <c r="BX7" i="2" s="1"/>
  <c r="BX6" i="2" s="1"/>
  <c r="DW41" i="2" a="1"/>
  <c r="DW41" i="2" l="1"/>
  <c r="DW7" i="2" s="1"/>
  <c r="DW6" i="2" s="1"/>
  <c r="DD58" i="2" a="1"/>
  <c r="DD58" i="2" l="1"/>
  <c r="DD7" i="2" s="1"/>
  <c r="DD6" i="2" s="1"/>
  <c r="BR41" i="2" a="1"/>
  <c r="BR41" i="2" l="1"/>
  <c r="DY58" i="2" a="1"/>
  <c r="DY58" i="2" l="1"/>
  <c r="AZ58" i="2" a="1"/>
  <c r="AZ58" i="2" l="1"/>
  <c r="AZ7" i="2" s="1"/>
  <c r="AZ6" i="2" s="1"/>
  <c r="T41" i="2" a="1"/>
  <c r="T41" i="2" l="1"/>
  <c r="AC58" i="2" a="1"/>
  <c r="T7" i="2" l="1"/>
  <c r="T6" i="2" s="1"/>
  <c r="Q61" i="5" a="1"/>
  <c r="Q61" i="5" s="1"/>
  <c r="AC58" i="2"/>
  <c r="DF41" i="2" a="1"/>
  <c r="AC7" i="2" l="1"/>
  <c r="AC6" i="2" s="1"/>
  <c r="Q98" i="5" a="1"/>
  <c r="Q98" i="5" s="1"/>
  <c r="Y61" i="5"/>
  <c r="S61" i="5"/>
  <c r="R61" i="5"/>
  <c r="DF41" i="2"/>
  <c r="V41" i="2" a="1"/>
  <c r="AC61" i="5" l="1"/>
  <c r="AD61" i="5"/>
  <c r="W61" i="5"/>
  <c r="X61" i="5"/>
  <c r="Y98" i="5"/>
  <c r="R98" i="5"/>
  <c r="S98" i="5"/>
  <c r="V41" i="2"/>
  <c r="AP41" i="2" a="1"/>
  <c r="V7" i="2" l="1"/>
  <c r="V6" i="2" s="1"/>
  <c r="Q69" i="5" a="1"/>
  <c r="Q69" i="5" s="1"/>
  <c r="AC98" i="5"/>
  <c r="AD98" i="5"/>
  <c r="W98" i="5"/>
  <c r="X98" i="5"/>
  <c r="AP41" i="2"/>
  <c r="AP7" i="2" s="1"/>
  <c r="AP6" i="2" s="1"/>
  <c r="CN58" i="2" a="1"/>
  <c r="Y69" i="5" l="1"/>
  <c r="S69" i="5"/>
  <c r="R69" i="5"/>
  <c r="CN58" i="2"/>
  <c r="CN7" i="2" s="1"/>
  <c r="CN6" i="2" s="1"/>
  <c r="DE58" i="2" a="1"/>
  <c r="AC69" i="5" l="1"/>
  <c r="AD69" i="5"/>
  <c r="W69" i="5"/>
  <c r="X69" i="5"/>
  <c r="DE58" i="2"/>
  <c r="DE7" i="2" s="1"/>
  <c r="DE6" i="2" s="1"/>
  <c r="DH41" i="2" a="1"/>
  <c r="DH41" i="2" l="1"/>
  <c r="BN41" i="2" a="1"/>
  <c r="BN41" i="2" l="1"/>
  <c r="BQ58" i="2" a="1"/>
  <c r="BQ58" i="2" l="1"/>
  <c r="BQ7" i="2" s="1"/>
  <c r="BQ6" i="2" s="1"/>
  <c r="BP58" i="2" a="1"/>
  <c r="BP58" i="2" l="1"/>
  <c r="BP7" i="2" s="1"/>
  <c r="BP6" i="2" s="1"/>
  <c r="DS58" i="2" a="1"/>
  <c r="DS58" i="2" l="1"/>
  <c r="DS7" i="2" s="1"/>
  <c r="DS6" i="2" s="1"/>
  <c r="BS58" i="2" a="1"/>
  <c r="BS58" i="2" l="1"/>
  <c r="BS7" i="2" s="1"/>
  <c r="BS6" i="2" s="1"/>
  <c r="BW58" i="2" a="1"/>
  <c r="BW58" i="2" l="1"/>
  <c r="AI58" i="2" a="1"/>
  <c r="AI58" i="2" l="1"/>
  <c r="AK58" i="2" a="1"/>
  <c r="AK58" i="2" l="1"/>
  <c r="AK7" i="2" s="1"/>
  <c r="AK6" i="2" s="1"/>
  <c r="AW58" i="2" a="1"/>
  <c r="AW58" i="2" l="1"/>
  <c r="BY58" i="2" a="1"/>
  <c r="BY58" i="2" l="1"/>
  <c r="BY7" i="2" s="1"/>
  <c r="BY6" i="2" s="1"/>
  <c r="CR41" i="2" a="1"/>
  <c r="CR41" i="2" l="1"/>
  <c r="CR7" i="2" s="1"/>
  <c r="CR6" i="2" s="1"/>
  <c r="AQ41" i="2" a="1"/>
  <c r="AQ41" i="2" l="1"/>
  <c r="AQ7" i="2" s="1"/>
  <c r="AQ6" i="2" s="1"/>
  <c r="AB58" i="2" a="1"/>
  <c r="AB58" i="2" l="1"/>
  <c r="Q94" i="5" s="1" a="1"/>
  <c r="Q94" i="5" s="1"/>
  <c r="BZ58" i="2" a="1"/>
  <c r="Y94" i="5" l="1"/>
  <c r="S94" i="5"/>
  <c r="R94" i="5"/>
  <c r="BZ58" i="2"/>
  <c r="BZ7" i="2" s="1"/>
  <c r="BZ6" i="2" s="1"/>
  <c r="AL41" i="2" a="1"/>
  <c r="AC94" i="5" l="1"/>
  <c r="AD94" i="5"/>
  <c r="W94" i="5"/>
  <c r="X94" i="5"/>
  <c r="AL41" i="2"/>
  <c r="AL7" i="2" s="1"/>
  <c r="AL6" i="2" s="1"/>
  <c r="DO41" i="2" a="1"/>
  <c r="DO41" i="2" l="1"/>
  <c r="AX58" i="2" a="1"/>
  <c r="AX58" i="2" l="1"/>
  <c r="AD58" i="2" a="1"/>
  <c r="AD58" i="2" l="1"/>
  <c r="Q102" i="5" s="1" a="1"/>
  <c r="Q102" i="5" s="1"/>
  <c r="BB41" i="2" a="1"/>
  <c r="Y102" i="5" l="1"/>
  <c r="S102" i="5"/>
  <c r="R102" i="5"/>
  <c r="BB41" i="2"/>
  <c r="AX41" i="2" a="1"/>
  <c r="AC102" i="5" l="1"/>
  <c r="AD102" i="5"/>
  <c r="W102" i="5"/>
  <c r="X102" i="5"/>
  <c r="AX41" i="2"/>
  <c r="AX7" i="2" s="1"/>
  <c r="AX6" i="2" s="1"/>
  <c r="DC58" i="2" a="1"/>
  <c r="DC58" i="2" l="1"/>
  <c r="DC7" i="2" s="1"/>
  <c r="DC6" i="2" s="1"/>
  <c r="CZ58" i="2" a="1"/>
  <c r="CZ58" i="2" l="1"/>
  <c r="CZ7" i="2" s="1"/>
  <c r="CZ6" i="2" s="1"/>
  <c r="AW41" i="2" a="1"/>
  <c r="AW41" i="2" l="1"/>
  <c r="AW7" i="2" s="1"/>
  <c r="AW6" i="2" s="1"/>
  <c r="DV41" i="2" a="1"/>
  <c r="DV41" i="2" l="1"/>
  <c r="DV7" i="2" s="1"/>
  <c r="DV6" i="2" s="1"/>
  <c r="DR41" i="2" a="1"/>
  <c r="DR41" i="2" l="1"/>
  <c r="DR7" i="2" s="1"/>
  <c r="DR6" i="2" s="1"/>
  <c r="CB58" i="2" a="1"/>
  <c r="CB58" i="2" l="1"/>
  <c r="CB7" i="2" s="1"/>
  <c r="CB6" i="2" s="1"/>
  <c r="BO58" i="2" a="1"/>
  <c r="BO58" i="2" l="1"/>
  <c r="BO7" i="2" s="1"/>
  <c r="BO6" i="2" s="1"/>
  <c r="CK41" i="2" a="1"/>
  <c r="CK41" i="2" l="1"/>
  <c r="AV58" i="2" a="1"/>
  <c r="AV58" i="2" l="1"/>
  <c r="AV7" i="2" s="1"/>
  <c r="AV6" i="2" s="1"/>
  <c r="DY41" i="2" a="1"/>
  <c r="DY41" i="2" l="1"/>
  <c r="DY7" i="2" s="1"/>
  <c r="DY6" i="2" s="1"/>
  <c r="DN41" i="2" a="1"/>
  <c r="DN41" i="2" l="1"/>
  <c r="CH41" i="2" a="1"/>
  <c r="CH41" i="2" l="1"/>
  <c r="CH7" i="2" s="1"/>
  <c r="CH6" i="2" s="1"/>
  <c r="CG41" i="2" a="1"/>
  <c r="CG41" i="2" l="1"/>
  <c r="CG7" i="2" s="1"/>
  <c r="CG6" i="2" s="1"/>
  <c r="AI41" i="2" a="1"/>
  <c r="AI41" i="2" l="1"/>
  <c r="AI7" i="2" s="1"/>
  <c r="AI6" i="2" s="1"/>
  <c r="AG58" i="2" a="1"/>
  <c r="AG58" i="2" l="1"/>
  <c r="DX58" i="2" a="1"/>
  <c r="DX58" i="2" l="1"/>
  <c r="DX7" i="2" s="1"/>
  <c r="DX6" i="2" s="1"/>
  <c r="CU41" i="2" a="1"/>
  <c r="CU41" i="2" l="1"/>
  <c r="CU7" i="2" s="1"/>
  <c r="CU6" i="2" s="1"/>
  <c r="DB58" i="2" a="1"/>
  <c r="DB58" i="2" l="1"/>
  <c r="DB7" i="2" s="1"/>
  <c r="DB6" i="2" s="1"/>
  <c r="BU41" i="2" a="1"/>
  <c r="BU41" i="2" l="1"/>
  <c r="Z41" i="2" a="1"/>
  <c r="Z41" i="2" l="1"/>
  <c r="DH58" i="2" a="1"/>
  <c r="Z7" i="2" l="1"/>
  <c r="Z6" i="2" s="1"/>
  <c r="Q85" i="5" a="1"/>
  <c r="Q85" i="5" s="1"/>
  <c r="DH58" i="2"/>
  <c r="DH7" i="2" s="1"/>
  <c r="DH6" i="2" s="1"/>
  <c r="DI41" i="2" a="1"/>
  <c r="Y85" i="5" l="1"/>
  <c r="S85" i="5"/>
  <c r="R85" i="5"/>
  <c r="DI41" i="2"/>
  <c r="DI7" i="2" s="1"/>
  <c r="DI6" i="2" s="1"/>
  <c r="CY58" i="2" a="1"/>
  <c r="W85" i="5" l="1"/>
  <c r="X85" i="5"/>
  <c r="AC85" i="5"/>
  <c r="AD85" i="5"/>
  <c r="CY58" i="2"/>
  <c r="DF58" i="2" a="1"/>
  <c r="DF58" i="2" l="1"/>
  <c r="DF7" i="2" s="1"/>
  <c r="DF6" i="2" s="1"/>
  <c r="AD41" i="2" a="1"/>
  <c r="AD41" i="2" l="1"/>
  <c r="AU58" i="2" a="1"/>
  <c r="AD7" i="2" l="1"/>
  <c r="AD6" i="2" s="1"/>
  <c r="Q101" i="5" a="1"/>
  <c r="Q101" i="5" s="1"/>
  <c r="AU58" i="2"/>
  <c r="DJ58" i="2" a="1"/>
  <c r="Y101" i="5" l="1"/>
  <c r="S101" i="5"/>
  <c r="R101" i="5"/>
  <c r="DJ58" i="2"/>
  <c r="DJ7" i="2" s="1"/>
  <c r="DJ6" i="2" s="1"/>
  <c r="S58" i="2" a="1"/>
  <c r="AC101" i="5" l="1"/>
  <c r="X101" i="5"/>
  <c r="AD101" i="5"/>
  <c r="W101" i="5"/>
  <c r="S58" i="2"/>
  <c r="CW41" i="2" a="1"/>
  <c r="CW41" i="2" l="1"/>
  <c r="CK58" i="2" a="1"/>
  <c r="CK58" i="2" l="1"/>
  <c r="CT41" i="2" a="1"/>
  <c r="CT41" i="2" l="1"/>
  <c r="CT7" i="2" s="1"/>
  <c r="CT6" i="2" s="1"/>
  <c r="AB41" i="2" a="1"/>
  <c r="AB41" i="2" l="1"/>
  <c r="AG41" i="2" a="1"/>
  <c r="AB7" i="2" l="1"/>
  <c r="AB6" i="2" s="1"/>
  <c r="Q93" i="5" a="1"/>
  <c r="Q93" i="5" s="1"/>
  <c r="AG41" i="2"/>
  <c r="CW58" i="2" a="1"/>
  <c r="Y93" i="5" l="1"/>
  <c r="S93" i="5"/>
  <c r="R93" i="5"/>
  <c r="CW58" i="2"/>
  <c r="CW7" i="2" s="1"/>
  <c r="CW6" i="2" s="1"/>
  <c r="BG58" i="2" a="1"/>
  <c r="AC93" i="5" l="1"/>
  <c r="W93" i="5"/>
  <c r="AD93" i="5"/>
  <c r="X93" i="5"/>
  <c r="BG58" i="2"/>
  <c r="BG7" i="2" s="1"/>
  <c r="BG6" i="2" s="1"/>
  <c r="BN58" i="2" a="1"/>
  <c r="BN58" i="2" l="1"/>
  <c r="BN7" i="2" s="1"/>
  <c r="BN6" i="2" s="1"/>
  <c r="DO58" i="2" a="1"/>
  <c r="DO58" i="2" l="1"/>
  <c r="DO7" i="2" s="1"/>
  <c r="DO6" i="2" s="1"/>
  <c r="DU41" i="2" a="1"/>
  <c r="DU41" i="2" l="1"/>
  <c r="DU7" i="2" s="1"/>
  <c r="DU6" i="2" s="1"/>
  <c r="CM58" i="2" a="1"/>
  <c r="CM58" i="2" l="1"/>
  <c r="CM7" i="2" s="1"/>
  <c r="CM6" i="2" s="1"/>
  <c r="AR58" i="2" a="1"/>
  <c r="AR58" i="2" l="1"/>
  <c r="AR7" i="2" s="1"/>
  <c r="AR6" i="2" s="1"/>
  <c r="AJ58" i="2" a="1"/>
  <c r="AJ58" i="2" l="1"/>
  <c r="AJ7" i="2" s="1"/>
  <c r="AJ6" i="2" s="1"/>
  <c r="DN58" i="2" a="1"/>
  <c r="DN58" i="2" l="1"/>
  <c r="DN7" i="2" s="1"/>
  <c r="DN6" i="2" s="1"/>
  <c r="BL41" i="2" a="1"/>
  <c r="BL41" i="2" l="1"/>
  <c r="BL7" i="2" s="1"/>
  <c r="BL6" i="2" s="1"/>
  <c r="CE58" i="2" a="1"/>
  <c r="CE58" i="2" l="1"/>
  <c r="CE7" i="2" s="1"/>
  <c r="CE6" i="2" s="1"/>
  <c r="BR58" i="2" a="1"/>
  <c r="BR58" i="2" l="1"/>
  <c r="BR7" i="2" s="1"/>
  <c r="BR6" i="2" s="1"/>
  <c r="CI58" i="2" a="1"/>
  <c r="CI58" i="2" l="1"/>
  <c r="CI7" i="2" s="1"/>
  <c r="CI6" i="2" s="1"/>
  <c r="CF58" i="2" a="1"/>
  <c r="CF58" i="2" l="1"/>
  <c r="CF7" i="2" s="1"/>
  <c r="CF6" i="2" s="1"/>
  <c r="BB58" i="2" a="1"/>
  <c r="BB58" i="2" l="1"/>
  <c r="BB7" i="2" s="1"/>
  <c r="BB6" i="2" s="1"/>
  <c r="BJ58" i="2" a="1"/>
  <c r="BJ58" i="2" l="1"/>
  <c r="BJ7" i="2" s="1"/>
  <c r="BJ6" i="2" s="1"/>
  <c r="DM41" i="2" a="1"/>
  <c r="DM41" i="2" l="1"/>
  <c r="BU58" i="2" a="1"/>
  <c r="BU58" i="2" l="1"/>
  <c r="BU7" i="2" s="1"/>
  <c r="BU6" i="2" s="1"/>
  <c r="CL58" i="2" a="1"/>
  <c r="CL58" i="2" l="1"/>
  <c r="CL7" i="2" s="1"/>
  <c r="CL6" i="2" s="1"/>
  <c r="DT58" i="2" a="1"/>
  <c r="DT58" i="2" l="1"/>
  <c r="DT7" i="2" s="1"/>
  <c r="DT6" i="2" s="1"/>
  <c r="AE58" i="2" a="1"/>
  <c r="AE58" i="2" l="1"/>
  <c r="AE7" i="2" s="1"/>
  <c r="AE6" i="2" s="1"/>
  <c r="DG41" i="2" a="1"/>
  <c r="DG41" i="2" l="1"/>
  <c r="DG7" i="2" s="1"/>
  <c r="DG6" i="2" s="1"/>
  <c r="CC41" i="2" a="1"/>
  <c r="CC41" i="2" l="1"/>
  <c r="CC7" i="2" s="1"/>
  <c r="CC6" i="2" s="1"/>
  <c r="AC45" i="4"/>
  <c r="AA45" i="4"/>
  <c r="AD45" i="4"/>
  <c r="R44" i="4"/>
  <c r="S44" i="4"/>
  <c r="U44" i="4"/>
  <c r="W44" i="4"/>
  <c r="X44" i="4"/>
  <c r="Z45" i="4"/>
  <c r="AB45" i="4"/>
  <c r="AC44" i="4"/>
  <c r="AA44" i="4"/>
  <c r="AD44" i="4"/>
  <c r="Z44" i="4"/>
  <c r="AB44" i="4"/>
  <c r="X43" i="4"/>
  <c r="R43" i="4"/>
  <c r="S43" i="4"/>
  <c r="U43" i="4"/>
  <c r="W43" i="4"/>
  <c r="E58" i="2" a="1"/>
  <c r="E58" i="2" l="1"/>
  <c r="L44" i="4" a="1"/>
  <c r="L44" i="4" s="1"/>
  <c r="Q58" i="5" l="1" a="1"/>
  <c r="Q58" i="5" s="1"/>
  <c r="Y58" i="5" s="1"/>
  <c r="L43" i="4" a="1"/>
  <c r="L43" i="4" s="1"/>
  <c r="L39" i="4" a="1"/>
  <c r="L39" i="4" s="1"/>
  <c r="L40" i="4" a="1"/>
  <c r="L40" i="4" s="1"/>
  <c r="L37" i="4" a="1"/>
  <c r="L37" i="4" s="1"/>
  <c r="L38" i="4" a="1"/>
  <c r="L38" i="4" s="1"/>
  <c r="R41" i="4"/>
  <c r="R40" i="4"/>
  <c r="R42" i="4"/>
  <c r="R39" i="4"/>
  <c r="R58" i="5" l="1"/>
  <c r="AD58" i="5" s="1"/>
  <c r="S58" i="5"/>
  <c r="S42" i="4"/>
  <c r="S41" i="4"/>
  <c r="S40" i="4"/>
  <c r="S39" i="4"/>
  <c r="L34" i="4" a="1"/>
  <c r="L34" i="4" s="1"/>
  <c r="R36" i="4"/>
  <c r="R37" i="4"/>
  <c r="R35" i="4"/>
  <c r="R38" i="4"/>
  <c r="W58" i="5" l="1"/>
  <c r="AC58" i="5"/>
  <c r="X58" i="5"/>
  <c r="L32" i="4" a="1"/>
  <c r="L32" i="4" s="1"/>
  <c r="E6" i="2"/>
  <c r="S38" i="4"/>
  <c r="L30" i="4" a="1"/>
  <c r="L30" i="4" s="1"/>
  <c r="L31" i="4" a="1"/>
  <c r="L31" i="4" s="1"/>
  <c r="S37" i="4"/>
  <c r="S35" i="4"/>
  <c r="S36" i="4"/>
  <c r="L29" i="4" a="1"/>
  <c r="L29" i="4" s="1"/>
  <c r="R21" i="4"/>
  <c r="U37" i="4"/>
  <c r="U35" i="4"/>
  <c r="U36" i="4"/>
  <c r="R28" i="4"/>
  <c r="R25" i="4"/>
  <c r="R24" i="4"/>
  <c r="R23" i="4"/>
  <c r="R33" i="4"/>
  <c r="R27" i="4"/>
  <c r="U39" i="4"/>
  <c r="U42" i="4"/>
  <c r="U41" i="4"/>
  <c r="R22" i="4"/>
  <c r="R26" i="4"/>
  <c r="R34" i="4"/>
  <c r="U40" i="4"/>
  <c r="R30" i="4"/>
  <c r="R31" i="4"/>
  <c r="R32" i="4"/>
  <c r="U38" i="4"/>
  <c r="S34" i="4" l="1"/>
  <c r="S33" i="4"/>
  <c r="S32" i="4"/>
  <c r="S31" i="4"/>
  <c r="S30" i="4"/>
  <c r="S27" i="4"/>
  <c r="S28" i="4"/>
  <c r="S25" i="4"/>
  <c r="S22" i="4"/>
  <c r="S26" i="4"/>
  <c r="S24" i="4"/>
  <c r="S23" i="4"/>
  <c r="S21" i="4"/>
  <c r="W37" i="4"/>
  <c r="W36" i="4"/>
  <c r="W35" i="4"/>
  <c r="W41" i="4"/>
  <c r="W42" i="4"/>
  <c r="W39" i="4"/>
  <c r="W38" i="4"/>
  <c r="R29" i="4"/>
  <c r="W40" i="4"/>
  <c r="X42" i="4" l="1"/>
  <c r="X41" i="4"/>
  <c r="X40" i="4"/>
  <c r="X39" i="4"/>
  <c r="X38" i="4"/>
  <c r="S29" i="4"/>
  <c r="X35" i="4"/>
  <c r="X36" i="4"/>
  <c r="X37" i="4"/>
  <c r="U21" i="4"/>
  <c r="W21" i="4"/>
  <c r="U33" i="4"/>
  <c r="U23" i="4"/>
  <c r="U25" i="4"/>
  <c r="U32" i="4"/>
  <c r="U34" i="4"/>
  <c r="U22" i="4"/>
  <c r="U29" i="4"/>
  <c r="U30" i="4"/>
  <c r="U26" i="4"/>
  <c r="U27" i="4"/>
  <c r="U24" i="4"/>
  <c r="U28" i="4"/>
  <c r="U31" i="4"/>
  <c r="X21" i="4" l="1"/>
  <c r="W27" i="4"/>
  <c r="W32" i="4"/>
  <c r="W22" i="4"/>
  <c r="W25" i="4"/>
  <c r="W30" i="4"/>
  <c r="W31" i="4"/>
  <c r="W29" i="4"/>
  <c r="W34" i="4"/>
  <c r="W28" i="4"/>
  <c r="W33" i="4"/>
  <c r="W24" i="4"/>
  <c r="W26" i="4"/>
  <c r="W23" i="4"/>
  <c r="X25" i="4" l="1"/>
  <c r="X32" i="4"/>
  <c r="X28" i="4"/>
  <c r="X26" i="4"/>
  <c r="X27" i="4"/>
  <c r="X23" i="4"/>
  <c r="X24" i="4"/>
  <c r="X22" i="4"/>
  <c r="X33" i="4"/>
  <c r="X34" i="4"/>
  <c r="X30" i="4"/>
  <c r="X31" i="4"/>
  <c r="X29" i="4"/>
  <c r="Z21" i="4" s="1"/>
  <c r="I38" i="5" l="1" a="1"/>
  <c r="I38" i="5" s="1"/>
  <c r="E38" i="5" s="1" a="1"/>
  <c r="E38" i="5" s="1"/>
  <c r="AI18" i="4" s="1"/>
  <c r="Z18" i="4"/>
  <c r="Y18" i="4"/>
  <c r="I36" i="5" a="1"/>
  <c r="I36" i="5" s="1"/>
  <c r="AJ16" i="4" s="1"/>
  <c r="AA14" i="4"/>
  <c r="Z15" i="4"/>
  <c r="AA18" i="4"/>
  <c r="I40" i="5" a="1"/>
  <c r="I40" i="5" s="1"/>
  <c r="E40" i="5" s="1" a="1"/>
  <c r="E40" i="5" s="1"/>
  <c r="AI20" i="4" s="1"/>
  <c r="Z22" i="4"/>
  <c r="Z43" i="4"/>
  <c r="AA43" i="4"/>
  <c r="Y43" i="4"/>
  <c r="Y22" i="4"/>
  <c r="AA41" i="4"/>
  <c r="Z34" i="4"/>
  <c r="AA34" i="4"/>
  <c r="Y28" i="4"/>
  <c r="Z42" i="4"/>
  <c r="AA42" i="4"/>
  <c r="Y42" i="4"/>
  <c r="Z33" i="4"/>
  <c r="Y33" i="4"/>
  <c r="AA33" i="4"/>
  <c r="Z41" i="4"/>
  <c r="Y41" i="4"/>
  <c r="AA28" i="4"/>
  <c r="I39" i="5" a="1"/>
  <c r="I39" i="5" s="1"/>
  <c r="Y16" i="4"/>
  <c r="AA16" i="4"/>
  <c r="Y17" i="4"/>
  <c r="I37" i="5" a="1"/>
  <c r="I37" i="5" s="1"/>
  <c r="Z14" i="4"/>
  <c r="Y14" i="4"/>
  <c r="Z17" i="4"/>
  <c r="AA17" i="4"/>
  <c r="Z28" i="4"/>
  <c r="Z16" i="4"/>
  <c r="AA15" i="4"/>
  <c r="Z25" i="4"/>
  <c r="AA25" i="4"/>
  <c r="Y25" i="4"/>
  <c r="Z23" i="4"/>
  <c r="P40" i="5" a="1"/>
  <c r="P40" i="5" s="1"/>
  <c r="L40" i="5" s="1" a="1"/>
  <c r="L40" i="5" s="1"/>
  <c r="AI33" i="4" s="1"/>
  <c r="Z24" i="4"/>
  <c r="AA22" i="4"/>
  <c r="P39" i="5" a="1"/>
  <c r="P39" i="5" s="1"/>
  <c r="L39" i="5" s="1" a="1"/>
  <c r="L39" i="5" s="1"/>
  <c r="AI32" i="4" s="1"/>
  <c r="Y24" i="4"/>
  <c r="P37" i="5" a="1"/>
  <c r="P37" i="5" s="1"/>
  <c r="AJ30" i="4" s="1"/>
  <c r="AA24" i="4"/>
  <c r="AA23" i="4"/>
  <c r="AA21" i="4"/>
  <c r="AC21" i="4" s="1"/>
  <c r="Y23" i="4"/>
  <c r="P38" i="5" a="1"/>
  <c r="P38" i="5" s="1"/>
  <c r="L38" i="5" s="1" a="1"/>
  <c r="L38" i="5" s="1"/>
  <c r="AI31" i="4" s="1"/>
  <c r="P36" i="5" a="1"/>
  <c r="P36" i="5" s="1"/>
  <c r="L36" i="5" s="1" a="1"/>
  <c r="L36" i="5" s="1"/>
  <c r="AI29" i="4" s="1"/>
  <c r="Y21" i="4"/>
  <c r="Z30" i="4"/>
  <c r="AA29" i="4"/>
  <c r="Z29" i="4"/>
  <c r="Y29" i="4"/>
  <c r="W42" i="5" a="1"/>
  <c r="W42" i="5" s="1"/>
  <c r="W38" i="5" a="1"/>
  <c r="W38" i="5" s="1"/>
  <c r="S38" i="5" s="1" a="1"/>
  <c r="S38" i="5" s="1"/>
  <c r="AP31" i="4" s="1"/>
  <c r="W39" i="5" a="1"/>
  <c r="W39" i="5" s="1"/>
  <c r="AQ32" i="4" s="1"/>
  <c r="W40" i="5" a="1"/>
  <c r="W40" i="5" s="1"/>
  <c r="S40" i="5" s="1" a="1"/>
  <c r="S40" i="5" s="1"/>
  <c r="AP33" i="4" s="1"/>
  <c r="W37" i="5" a="1"/>
  <c r="W37" i="5" s="1"/>
  <c r="S37" i="5" s="1" a="1"/>
  <c r="S37" i="5" s="1"/>
  <c r="AP30" i="4" s="1"/>
  <c r="W36" i="5" a="1"/>
  <c r="W36" i="5" s="1"/>
  <c r="S36" i="5" s="1" a="1"/>
  <c r="S36" i="5" s="1"/>
  <c r="AP35" i="4"/>
  <c r="P42" i="5" a="1"/>
  <c r="P42" i="5" s="1"/>
  <c r="Y34" i="4"/>
  <c r="AA30" i="4"/>
  <c r="Y30" i="4"/>
  <c r="AA32" i="4"/>
  <c r="Y38" i="4"/>
  <c r="AA31" i="4"/>
  <c r="AA36" i="4"/>
  <c r="Z40" i="4"/>
  <c r="Y39" i="4"/>
  <c r="Y31" i="4"/>
  <c r="Z37" i="4"/>
  <c r="AA35" i="4"/>
  <c r="AA40" i="4"/>
  <c r="Z32" i="4"/>
  <c r="AA27" i="4"/>
  <c r="Y26" i="4"/>
  <c r="Y37" i="4"/>
  <c r="AA26" i="4"/>
  <c r="Z27" i="4"/>
  <c r="Z36" i="4"/>
  <c r="AA39" i="4"/>
  <c r="Z26" i="4"/>
  <c r="Z39" i="4"/>
  <c r="AA37" i="4"/>
  <c r="Y32" i="4"/>
  <c r="Y27" i="4"/>
  <c r="Y40" i="4"/>
  <c r="Z31" i="4"/>
  <c r="AA38" i="4"/>
  <c r="Y35" i="4"/>
  <c r="Z35" i="4"/>
  <c r="Y36" i="4"/>
  <c r="AB14" i="4" l="1"/>
  <c r="AJ18" i="4"/>
  <c r="AC18" i="4"/>
  <c r="AD18" i="4"/>
  <c r="AJ20" i="4"/>
  <c r="E36" i="5" a="1"/>
  <c r="E36" i="5" s="1"/>
  <c r="AI16" i="4" s="1"/>
  <c r="AB18" i="4"/>
  <c r="AB22" i="4"/>
  <c r="AD43" i="4"/>
  <c r="AC43" i="4"/>
  <c r="AB43" i="4"/>
  <c r="AB41" i="4"/>
  <c r="AC42" i="4"/>
  <c r="AD42" i="4"/>
  <c r="AC34" i="4"/>
  <c r="AD34" i="4"/>
  <c r="AB33" i="4"/>
  <c r="AB42" i="4"/>
  <c r="AD28" i="4"/>
  <c r="AB34" i="4"/>
  <c r="AD33" i="4"/>
  <c r="AC33" i="4"/>
  <c r="AC41" i="4"/>
  <c r="AD41" i="4"/>
  <c r="AB25" i="4"/>
  <c r="I41" i="5"/>
  <c r="AJ21" i="4" s="1"/>
  <c r="E37" i="5" a="1"/>
  <c r="E37" i="5" s="1"/>
  <c r="AI17" i="4" s="1"/>
  <c r="AJ17" i="4"/>
  <c r="AD16" i="4"/>
  <c r="AC16" i="4"/>
  <c r="AD15" i="4"/>
  <c r="AC15" i="4"/>
  <c r="AB15" i="4"/>
  <c r="AB16" i="4"/>
  <c r="E39" i="5" a="1"/>
  <c r="E39" i="5" s="1"/>
  <c r="AI19" i="4" s="1"/>
  <c r="AJ19" i="4"/>
  <c r="AC14" i="4"/>
  <c r="AB28" i="4"/>
  <c r="AD14" i="4"/>
  <c r="AC28" i="4"/>
  <c r="AD17" i="4"/>
  <c r="AC17" i="4"/>
  <c r="AB17" i="4"/>
  <c r="AB24" i="4"/>
  <c r="AD23" i="4"/>
  <c r="AD25" i="4"/>
  <c r="AC25" i="4"/>
  <c r="AC22" i="4"/>
  <c r="AD22" i="4"/>
  <c r="AJ33" i="4"/>
  <c r="AD24" i="4"/>
  <c r="AC23" i="4"/>
  <c r="L37" i="5" a="1"/>
  <c r="L37" i="5" s="1"/>
  <c r="AI30" i="4" s="1"/>
  <c r="AJ32" i="4"/>
  <c r="AC24" i="4"/>
  <c r="AB21" i="4"/>
  <c r="AJ31" i="4"/>
  <c r="AD21" i="4"/>
  <c r="AB23" i="4"/>
  <c r="AJ29" i="4"/>
  <c r="AB30" i="4"/>
  <c r="E25" i="5"/>
  <c r="E23" i="5"/>
  <c r="E24" i="5" s="1"/>
  <c r="AJ35" i="4"/>
  <c r="AB29" i="4"/>
  <c r="AD29" i="4"/>
  <c r="AC29" i="4"/>
  <c r="AQ31" i="4"/>
  <c r="S39" i="5" a="1"/>
  <c r="S39" i="5" s="1"/>
  <c r="AP32" i="4" s="1"/>
  <c r="AQ29" i="4"/>
  <c r="W41" i="5"/>
  <c r="S41" i="5" s="1"/>
  <c r="AP29" i="4"/>
  <c r="AQ33" i="4"/>
  <c r="AQ30" i="4"/>
  <c r="AQ35" i="4"/>
  <c r="P41" i="5"/>
  <c r="AB36" i="4"/>
  <c r="AD30" i="4"/>
  <c r="AC30" i="4"/>
  <c r="AD35" i="4"/>
  <c r="AB39" i="4"/>
  <c r="AD31" i="4"/>
  <c r="AC31" i="4"/>
  <c r="AC36" i="4"/>
  <c r="AD36" i="4"/>
  <c r="AB32" i="4"/>
  <c r="AC37" i="4"/>
  <c r="AD40" i="4"/>
  <c r="AC38" i="4"/>
  <c r="AB27" i="4"/>
  <c r="AD32" i="4"/>
  <c r="AC32" i="4"/>
  <c r="AC39" i="4"/>
  <c r="AD39" i="4"/>
  <c r="AB31" i="4"/>
  <c r="AB37" i="4"/>
  <c r="AD26" i="4"/>
  <c r="AD37" i="4"/>
  <c r="AB26" i="4"/>
  <c r="AD38" i="4"/>
  <c r="AC27" i="4"/>
  <c r="AC40" i="4"/>
  <c r="AD27" i="4"/>
  <c r="AC35" i="4"/>
  <c r="AC26" i="4"/>
  <c r="AB40" i="4"/>
  <c r="AB35" i="4"/>
  <c r="AB38" i="4"/>
  <c r="E41" i="5" l="1"/>
  <c r="AI21" i="4" s="1"/>
  <c r="AQ34" i="4"/>
  <c r="AP34" i="4"/>
  <c r="L41" i="5"/>
  <c r="AI34" i="4" s="1"/>
  <c r="AJ34"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<sst xmlns="http://schemas.openxmlformats.org/spreadsheetml/2006/main" count="191" uniqueCount="120">
  <si>
    <t xml:space="preserve">                                                                         Settings</t>
  </si>
  <si>
    <t>General</t>
  </si>
  <si>
    <t>Starting year:</t>
  </si>
  <si>
    <t xml:space="preserve">                          Budget Planning</t>
  </si>
  <si>
    <t>Income</t>
  </si>
  <si>
    <t>Enter Income Category….</t>
  </si>
  <si>
    <t>Total</t>
  </si>
  <si>
    <t>Employment (Net)</t>
  </si>
  <si>
    <t>Side Hustle (Net)</t>
  </si>
  <si>
    <t>Expenses</t>
  </si>
  <si>
    <t>Groceries</t>
  </si>
  <si>
    <t>House Rent</t>
  </si>
  <si>
    <t>Loan</t>
  </si>
  <si>
    <t>Savings</t>
  </si>
  <si>
    <t>Retirement Account</t>
  </si>
  <si>
    <t>Enter savings Category….</t>
  </si>
  <si>
    <t xml:space="preserve">Define starting year settings </t>
  </si>
  <si>
    <t>To be allocated:</t>
  </si>
  <si>
    <t>Savings Account</t>
  </si>
  <si>
    <t xml:space="preserve">                          Budget Tracking</t>
  </si>
  <si>
    <t>Date</t>
  </si>
  <si>
    <t>Type</t>
  </si>
  <si>
    <t>Amount</t>
  </si>
  <si>
    <t>Category</t>
  </si>
  <si>
    <t>Details</t>
  </si>
  <si>
    <t>Balance</t>
  </si>
  <si>
    <t>Effective Date</t>
  </si>
  <si>
    <t>Set the starting year (yyyy) once at the beginning and do not change it again</t>
  </si>
  <si>
    <t>Late Monthly Income</t>
  </si>
  <si>
    <t>Shift late Income:</t>
  </si>
  <si>
    <t>Active</t>
  </si>
  <si>
    <t>Starting on day x in month:</t>
  </si>
  <si>
    <t>Activate this option to treat late Income received on or after a certain day of the month as income for the next month. This is especially recommended in case you receive your monthly paycheck towards the end of the month and prefer to consider this income for the next month</t>
  </si>
  <si>
    <t>CALCULATIONS</t>
  </si>
  <si>
    <t>Worksheet: Budget Tracking</t>
  </si>
  <si>
    <t>Today:</t>
  </si>
  <si>
    <t>Last Record:</t>
  </si>
  <si>
    <t>Delta Last Record:</t>
  </si>
  <si>
    <t># Records:</t>
  </si>
  <si>
    <t># Records this year:</t>
  </si>
  <si>
    <t>Tracking Balance:</t>
  </si>
  <si>
    <t>Balance Analysis Test:</t>
  </si>
  <si>
    <t xml:space="preserve">                          Budget Dashboard</t>
  </si>
  <si>
    <t>Year</t>
  </si>
  <si>
    <t>Period</t>
  </si>
  <si>
    <r>
      <rPr>
        <i/>
        <sz val="10"/>
        <color theme="0" tint="-0.499984740745262"/>
        <rFont val="Aptos Narrow"/>
        <family val="2"/>
        <scheme val="minor"/>
      </rPr>
      <t xml:space="preserve">Select the year to view </t>
    </r>
    <r>
      <rPr>
        <i/>
        <sz val="10"/>
        <color theme="1"/>
        <rFont val="Aptos Narrow"/>
        <family val="2"/>
        <scheme val="minor"/>
      </rPr>
      <t xml:space="preserve"> →</t>
    </r>
  </si>
  <si>
    <r>
      <rPr>
        <i/>
        <sz val="10"/>
        <color theme="0" tint="-0.499984740745262"/>
        <rFont val="Aptos Narrow"/>
        <family val="2"/>
        <scheme val="minor"/>
      </rPr>
      <t xml:space="preserve">Select the period to view </t>
    </r>
    <r>
      <rPr>
        <i/>
        <sz val="10"/>
        <color theme="1"/>
        <rFont val="Aptos Narrow"/>
        <family val="2"/>
        <scheme val="minor"/>
      </rPr>
      <t xml:space="preserve"> →</t>
    </r>
  </si>
  <si>
    <r>
      <t xml:space="preserve">                        </t>
    </r>
    <r>
      <rPr>
        <b/>
        <sz val="20"/>
        <color theme="1" tint="4.9989318521683403E-2"/>
        <rFont val="Aptos Narrow"/>
        <family val="2"/>
        <scheme val="minor"/>
      </rPr>
      <t xml:space="preserve">  Dropdown Data</t>
    </r>
  </si>
  <si>
    <t>Year Dropdown</t>
  </si>
  <si>
    <t>Current Year</t>
  </si>
  <si>
    <t>Period Dropdown</t>
  </si>
  <si>
    <t>Total Year</t>
  </si>
  <si>
    <t>Current Month</t>
  </si>
  <si>
    <t>Selected Year:</t>
  </si>
  <si>
    <t>Selected Period:</t>
  </si>
  <si>
    <r>
      <rPr>
        <b/>
        <sz val="11"/>
        <color theme="1"/>
        <rFont val="Aptos Narrow"/>
        <family val="2"/>
        <scheme val="minor"/>
      </rPr>
      <t>Selected Period(Display)</t>
    </r>
    <r>
      <rPr>
        <sz val="11"/>
        <color theme="1"/>
        <rFont val="Aptos Narrow"/>
        <family val="2"/>
        <scheme val="minor"/>
      </rPr>
      <t>:</t>
    </r>
  </si>
  <si>
    <t>row_id</t>
  </si>
  <si>
    <t>header_row_id</t>
  </si>
  <si>
    <t>is_header</t>
  </si>
  <si>
    <t>is_cat</t>
  </si>
  <si>
    <t>is_total</t>
  </si>
  <si>
    <t>_is_empty</t>
  </si>
  <si>
    <t>type</t>
  </si>
  <si>
    <t>item</t>
  </si>
  <si>
    <t xml:space="preserve">tracked </t>
  </si>
  <si>
    <t>budget</t>
  </si>
  <si>
    <t>sort_min_row</t>
  </si>
  <si>
    <t>sort_max_row</t>
  </si>
  <si>
    <t>tracked_range</t>
  </si>
  <si>
    <t>tracked_rank</t>
  </si>
  <si>
    <t>budget_range</t>
  </si>
  <si>
    <t>budget_rank</t>
  </si>
  <si>
    <t>Dividends</t>
  </si>
  <si>
    <t>comb_rank</t>
  </si>
  <si>
    <t>comb_rank_range</t>
  </si>
  <si>
    <t>comb_rank_norm</t>
  </si>
  <si>
    <t>comb_rank_unique</t>
  </si>
  <si>
    <t>comb_rank_run_range</t>
  </si>
  <si>
    <t>sorted_row_id[Lookup]</t>
  </si>
  <si>
    <t>Enter savings Categsavingsory….</t>
  </si>
  <si>
    <t>Credit</t>
  </si>
  <si>
    <r>
      <rPr>
        <b/>
        <sz val="11"/>
        <color theme="3" tint="0.249977111117893"/>
        <rFont val="Calibri"/>
        <family val="2"/>
      </rPr>
      <t xml:space="preserve">Chart Calculations </t>
    </r>
    <r>
      <rPr>
        <sz val="11"/>
        <color theme="3" tint="0.249977111117893"/>
        <rFont val="Aptos Narrow"/>
        <family val="2"/>
        <scheme val="minor"/>
      </rPr>
      <t xml:space="preserve">: </t>
    </r>
    <r>
      <rPr>
        <sz val="11"/>
        <color theme="3" tint="0.249977111117893"/>
        <rFont val="Calibri"/>
        <family val="2"/>
      </rPr>
      <t>Category Distribution Charts</t>
    </r>
  </si>
  <si>
    <t>Chart Calculations : Tracked (vs. Budget) Chart</t>
  </si>
  <si>
    <t>Month</t>
  </si>
  <si>
    <t>Month Num.</t>
  </si>
  <si>
    <t>In Focus</t>
  </si>
  <si>
    <t xml:space="preserve">Show Type </t>
  </si>
  <si>
    <t>Show rem. Budget</t>
  </si>
  <si>
    <t>Tracked</t>
  </si>
  <si>
    <t>Budget</t>
  </si>
  <si>
    <t>Delta</t>
  </si>
  <si>
    <t>Period in Focus</t>
  </si>
  <si>
    <t>In Budget</t>
  </si>
  <si>
    <t>Remaining</t>
  </si>
  <si>
    <t>Excess</t>
  </si>
  <si>
    <t>Period not in Focus</t>
  </si>
  <si>
    <t>Show Income:</t>
  </si>
  <si>
    <t>Show Expenses:</t>
  </si>
  <si>
    <t>Show Savings:</t>
  </si>
  <si>
    <t>Show Rem. Budget:</t>
  </si>
  <si>
    <t>Days passed in period:</t>
  </si>
  <si>
    <r>
      <rPr>
        <b/>
        <sz val="11"/>
        <color theme="1"/>
        <rFont val="Calibri"/>
        <family val="2"/>
      </rPr>
      <t>Days passed in period</t>
    </r>
    <r>
      <rPr>
        <b/>
        <strike/>
        <sz val="11"/>
        <color theme="1"/>
        <rFont val="Calibri"/>
        <family val="2"/>
      </rPr>
      <t>%</t>
    </r>
    <r>
      <rPr>
        <b/>
        <sz val="11"/>
        <color theme="1"/>
        <rFont val="Calibri"/>
        <family val="2"/>
      </rPr>
      <t>:</t>
    </r>
  </si>
  <si>
    <t>Days in Period:</t>
  </si>
  <si>
    <t>Period Tracking Balance:</t>
  </si>
  <si>
    <t>Period Savings Rate:</t>
  </si>
  <si>
    <t>KPI Calculation in Dashboard</t>
  </si>
  <si>
    <t>Savings Rate as % of income:</t>
  </si>
  <si>
    <t>Choose how you want the savings rate (SR) to be calculated in the dashboard KPI tiles:
1) Active Option (% allocated to Savings):                                  SR = Savings/Income
2)Passive Option(% not allocated to Expenses):                       SR = (Income - Expenses) / Income</t>
  </si>
  <si>
    <t>Phone Bill</t>
  </si>
  <si>
    <t>Utilities</t>
  </si>
  <si>
    <t>Transportation</t>
  </si>
  <si>
    <t>Personal Expenses</t>
  </si>
  <si>
    <t>Dining out</t>
  </si>
  <si>
    <t>Clothing</t>
  </si>
  <si>
    <t>Savings Acc</t>
  </si>
  <si>
    <t>% allocated to Savings</t>
  </si>
  <si>
    <t>Outing</t>
  </si>
  <si>
    <t>Subscriptions</t>
  </si>
  <si>
    <t>Other Expenses</t>
  </si>
  <si>
    <t xml:space="preserve">   Tax Return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</si>
</sst>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1" formatCode="_-* #,##0_-;\-* #,##0_-;_-* &quot;-&quot;_-;_-@_-"/>
    <numFmt numFmtId="44" formatCode="_-&quot;$&quot;* #,##0.00_-;\-&quot;$&quot;* #,##0.00_-;_-&quot;$&quot;* &quot;-&quot;??_-;_-@_-"/>
    <numFmt numFmtId="43" formatCode="_-* #,##0.00_-;\-* #,##0.00_-;_-* &quot;-&quot;??_-;_-@_-"/>
    <numFmt numFmtId="164" formatCode="mmm"/>
    <numFmt numFmtId="165" formatCode="d/mmm/yy"/>
    <numFmt numFmtId="166" formatCode="mmmm"/>
    <numFmt numFmtId="167" formatCode="_-* #,##0_-;\-* #,##0_-;_-* &quot;-&quot;??_-;_-@_-"/>
    <numFmt numFmtId="168" formatCode="0.0%"/>
  </numFmts>
  <fonts count="50"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8"/>
      <color theme="0"/>
      <name val="Aptos Narrow"/>
      <family val="2"/>
      <scheme val="minor"/>
    </font>
    <font>
      <sz val="11"/>
      <color theme="1"/>
      <name val="Aptos Narrow"/>
      <family val="2"/>
      <scheme val="minor"/>
    </font>
    <font>
      <b/>
      <sz val="18"/>
      <color theme="0" tint="-4.9989318521683403E-2"/>
      <name val="Aptos Narrow"/>
      <family val="2"/>
      <scheme val="minor"/>
    </font>
    <font>
      <b/>
      <sz val="10"/>
      <color theme="0"/>
      <name val="Aptos Narrow"/>
      <family val="2"/>
      <scheme val="minor"/>
    </font>
    <font>
      <sz val="9"/>
      <color theme="0" tint="-0.499984740745262"/>
      <name val="Aptos Display"/>
      <family val="2"/>
      <scheme val="major"/>
    </font>
    <font>
      <b/>
      <sz val="9"/>
      <color theme="0" tint="-0.499984740745262"/>
      <name val="Aptos Display"/>
      <family val="2"/>
      <scheme val="major"/>
    </font>
    <font>
      <b/>
      <sz val="9"/>
      <color theme="1"/>
      <name val="Aptos Display"/>
      <family val="2"/>
      <scheme val="major"/>
    </font>
    <font>
      <b/>
      <sz val="9"/>
      <color theme="0" tint="-0.499984740745262"/>
      <name val="Aptos Narrow"/>
      <family val="2"/>
      <scheme val="minor"/>
    </font>
    <font>
      <i/>
      <sz val="11"/>
      <color theme="1" tint="0.34998626667073579"/>
      <name val="Calibri"/>
      <family val="2"/>
    </font>
    <font>
      <sz val="11"/>
      <color theme="1"/>
      <name val="Calibri"/>
      <family val="2"/>
    </font>
    <font>
      <b/>
      <sz val="11"/>
      <color theme="0"/>
      <name val="Calibri"/>
      <family val="2"/>
    </font>
    <font>
      <b/>
      <sz val="11"/>
      <color theme="1"/>
      <name val="Calibri"/>
      <family val="2"/>
    </font>
    <font>
      <b/>
      <i/>
      <sz val="12"/>
      <color theme="1"/>
      <name val="Calibri"/>
      <family val="2"/>
    </font>
    <font>
      <b/>
      <sz val="14"/>
      <color theme="1"/>
      <name val="Calibri"/>
      <family val="2"/>
    </font>
    <font>
      <b/>
      <sz val="10"/>
      <color theme="0"/>
      <name val="Calibri"/>
      <family val="2"/>
    </font>
    <font>
      <b/>
      <sz val="10"/>
      <color theme="0" tint="-0.499984740745262"/>
      <name val="Calibri"/>
      <family val="2"/>
    </font>
    <font>
      <b/>
      <sz val="9"/>
      <color theme="0" tint="-0.499984740745262"/>
      <name val="Calibri"/>
      <family val="2"/>
    </font>
    <font>
      <sz val="9"/>
      <color theme="0" tint="-0.499984740745262"/>
      <name val="Calibri"/>
      <family val="2"/>
    </font>
    <font>
      <sz val="10"/>
      <color theme="0" tint="-0.499984740745262"/>
      <name val="Calibri"/>
      <family val="2"/>
    </font>
    <font>
      <b/>
      <sz val="9"/>
      <color theme="1"/>
      <name val="Calibri"/>
      <family val="2"/>
    </font>
    <font>
      <sz val="11"/>
      <color theme="0" tint="-0.499984740745262"/>
      <name val="Calibri"/>
      <family val="2"/>
    </font>
    <font>
      <i/>
      <sz val="9"/>
      <color theme="0" tint="-0.499984740745262"/>
      <name val="Aptos Mono"/>
      <family val="3"/>
    </font>
    <font>
      <b/>
      <sz val="11"/>
      <color rgb="FFFF5050"/>
      <name val="Aptos Narrow"/>
      <family val="2"/>
      <scheme val="minor"/>
    </font>
    <font>
      <sz val="11"/>
      <color theme="0" tint="-0.249977111117893"/>
      <name val="Calibri"/>
      <family val="2"/>
    </font>
    <font>
      <sz val="11"/>
      <color theme="1" tint="0.14996795556505021"/>
      <name val="Aptos Narrow"/>
      <family val="2"/>
      <scheme val="minor"/>
    </font>
    <font>
      <b/>
      <sz val="16"/>
      <color theme="1" tint="0.14996795556505021"/>
      <name val="Aptos Narrow"/>
      <family val="2"/>
      <scheme val="minor"/>
    </font>
    <font>
      <sz val="12"/>
      <color theme="0"/>
      <name val="Aptos Narrow"/>
      <family val="2"/>
      <scheme val="minor"/>
    </font>
    <font>
      <b/>
      <sz val="12"/>
      <color theme="0"/>
      <name val="Calibri"/>
      <family val="2"/>
    </font>
    <font>
      <b/>
      <sz val="20"/>
      <color theme="0" tint="-4.9989318521683403E-2"/>
      <name val="Aptos Narrow"/>
      <family val="2"/>
      <scheme val="minor"/>
    </font>
    <font>
      <sz val="10"/>
      <color theme="1"/>
      <name val="Aptos Narrow"/>
      <family val="2"/>
      <scheme val="minor"/>
    </font>
    <font>
      <b/>
      <sz val="10"/>
      <color theme="1"/>
      <name val="Aptos Narrow"/>
      <family val="2"/>
      <scheme val="minor"/>
    </font>
    <font>
      <sz val="10"/>
      <color theme="0"/>
      <name val="Aptos Narrow"/>
      <family val="2"/>
      <scheme val="minor"/>
    </font>
    <font>
      <i/>
      <sz val="10"/>
      <color theme="1"/>
      <name val="Aptos Narrow"/>
      <family val="2"/>
      <scheme val="minor"/>
    </font>
    <font>
      <i/>
      <sz val="10"/>
      <color theme="0" tint="-0.499984740745262"/>
      <name val="Aptos Narrow"/>
      <family val="2"/>
      <scheme val="minor"/>
    </font>
    <font>
      <b/>
      <sz val="20"/>
      <color theme="1" tint="4.9989318521683403E-2"/>
      <name val="Aptos Narrow"/>
      <family val="2"/>
      <scheme val="minor"/>
    </font>
    <font>
      <sz val="8"/>
      <color theme="1"/>
      <name val="Aptos Narrow"/>
      <family val="2"/>
      <scheme val="minor"/>
    </font>
    <font>
      <sz val="10.5"/>
      <color theme="1"/>
      <name val="Calibri"/>
      <family val="2"/>
    </font>
    <font>
      <sz val="11"/>
      <color theme="3" tint="0.249977111117893"/>
      <name val="Aptos Narrow"/>
      <family val="2"/>
      <scheme val="minor"/>
    </font>
    <font>
      <b/>
      <sz val="11"/>
      <color theme="3" tint="0.249977111117893"/>
      <name val="Calibri"/>
      <family val="2"/>
    </font>
    <font>
      <sz val="11"/>
      <color theme="3" tint="0.249977111117893"/>
      <name val="Calibri"/>
      <family val="2"/>
    </font>
    <font>
      <sz val="8"/>
      <name val="Aptos Narrow"/>
      <family val="2"/>
      <scheme val="minor"/>
    </font>
    <font>
      <sz val="9"/>
      <color theme="1"/>
      <name val="Calibri"/>
      <family val="2"/>
    </font>
    <font>
      <b/>
      <sz val="11"/>
      <color theme="8" tint="0.39997558519241921"/>
      <name val="Calibri"/>
      <family val="2"/>
    </font>
    <font>
      <b/>
      <strike/>
      <sz val="11"/>
      <color theme="1"/>
      <name val="Calibri"/>
      <family val="2"/>
    </font>
    <font>
      <i/>
      <sz val="11"/>
      <color rgb="FF777777"/>
      <name val="Calibri"/>
      <family val="2"/>
    </font>
    <font>
      <sz val="8"/>
      <color rgb="FF000000"/>
      <name val="Segoe UI"/>
      <family val="2"/>
    </font>
  </fonts>
  <fills count="13">
    <fill>
      <patternFill patternType="none"/>
    </fill>
    <fill>
      <patternFill patternType="gray125"/>
    </fill>
    <fill>
      <patternFill patternType="solid">
        <fgColor theme="3" tint="9.9978637043366805E-2"/>
        <bgColor indexed="64"/>
      </patternFill>
    </fill>
    <fill>
      <patternFill patternType="solid">
        <fgColor theme="3" tint="0.89999084444715716"/>
        <bgColor indexed="64"/>
      </patternFill>
    </fill>
    <fill>
      <patternFill patternType="solid">
        <fgColor rgb="FF00B050"/>
        <bgColor indexed="64"/>
      </patternFill>
    </fill>
    <fill>
      <patternFill patternType="solid">
        <fgColor rgb="FFFF0000"/>
        <bgColor indexed="64"/>
      </patternFill>
    </fill>
    <fill>
      <patternFill patternType="solid">
        <fgColor theme="3" tint="0.499984740745262"/>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34998626667073579"/>
        <bgColor indexed="64"/>
      </patternFill>
    </fill>
  </fills>
  <borders count="31">
    <border>
      <left/>
      <right/>
      <top/>
      <bottom/>
      <diagonal/>
    </border>
    <border>
      <left style="thin">
        <color theme="0" tint="-0.34998626667073579"/>
      </left>
      <right/>
      <top/>
      <bottom/>
      <diagonal/>
    </border>
    <border>
      <left/>
      <right style="thin">
        <color theme="0" tint="-0.24994659260841701"/>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indexed="64"/>
      </left>
      <right style="thin">
        <color indexed="64"/>
      </right>
      <top/>
      <bottom style="thin">
        <color indexed="64"/>
      </bottom>
      <diagonal/>
    </border>
    <border>
      <left/>
      <right/>
      <top/>
      <bottom style="mediumDashDot">
        <color theme="0" tint="-0.34998626667073579"/>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theme="0" tint="-0.24994659260841701"/>
      </left>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right/>
      <top style="thin">
        <color auto="1"/>
      </top>
      <bottom style="thin">
        <color auto="1"/>
      </bottom>
      <diagonal/>
    </border>
    <border>
      <left/>
      <right/>
      <top/>
      <bottom style="thin">
        <color indexed="64"/>
      </bottom>
      <diagonal/>
    </border>
    <border>
      <left/>
      <right/>
      <top style="dotted">
        <color auto="1"/>
      </top>
      <bottom style="double">
        <color auto="1"/>
      </bottom>
      <diagonal/>
    </border>
    <border>
      <left/>
      <right/>
      <top style="hair">
        <color auto="1"/>
      </top>
      <bottom/>
      <diagonal/>
    </border>
  </borders>
  <cellStyleXfs count="4">
    <xf numFmtId="0" fontId="0"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cellStyleXfs>
  <cellXfs count="157">
    <xf numFmtId="0" fontId="0" fillId="0" borderId="0" xfId="0"/>
    <xf numFmtId="0" fontId="3" fillId="2" borderId="0" xfId="0" applyFont="1" applyFill="1"/>
    <xf numFmtId="0" fontId="4" fillId="2" borderId="0" xfId="0" applyFont="1" applyFill="1" applyAlignment="1">
      <alignment horizontal="center"/>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2" fillId="0" borderId="1" xfId="0" applyFont="1" applyBorder="1" applyAlignment="1">
      <alignment horizontal="center" vertical="center"/>
    </xf>
    <xf numFmtId="0" fontId="0" fillId="3" borderId="0" xfId="0" applyFill="1" applyAlignment="1">
      <alignment horizontal="center" vertical="center"/>
    </xf>
    <xf numFmtId="0" fontId="0" fillId="2" borderId="0" xfId="0" applyFill="1"/>
    <xf numFmtId="164" fontId="7" fillId="4" borderId="0" xfId="0" applyNumberFormat="1" applyFont="1" applyFill="1" applyAlignment="1">
      <alignment horizontal="center" vertical="center"/>
    </xf>
    <xf numFmtId="0" fontId="7" fillId="4" borderId="0" xfId="0" applyFont="1" applyFill="1" applyAlignment="1">
      <alignment horizontal="center" vertical="center"/>
    </xf>
    <xf numFmtId="43" fontId="8" fillId="0" borderId="9" xfId="1" applyFont="1" applyBorder="1"/>
    <xf numFmtId="43" fontId="9" fillId="0" borderId="9" xfId="1" applyFont="1" applyBorder="1"/>
    <xf numFmtId="43" fontId="10" fillId="0" borderId="9" xfId="1" applyFont="1" applyBorder="1"/>
    <xf numFmtId="164" fontId="7" fillId="5" borderId="0" xfId="0" applyNumberFormat="1" applyFont="1" applyFill="1" applyAlignment="1">
      <alignment horizontal="center" vertical="center"/>
    </xf>
    <xf numFmtId="0" fontId="7" fillId="5" borderId="0" xfId="0" applyFont="1" applyFill="1" applyAlignment="1">
      <alignment horizontal="center" vertical="center"/>
    </xf>
    <xf numFmtId="164" fontId="7" fillId="6" borderId="0" xfId="0" applyNumberFormat="1" applyFont="1" applyFill="1" applyAlignment="1">
      <alignment horizontal="center" vertical="center"/>
    </xf>
    <xf numFmtId="0" fontId="7" fillId="6" borderId="0" xfId="0" applyFont="1" applyFill="1" applyAlignment="1">
      <alignment horizontal="center" vertical="center"/>
    </xf>
    <xf numFmtId="43" fontId="0" fillId="0" borderId="7" xfId="0" applyNumberFormat="1" applyBorder="1"/>
    <xf numFmtId="43" fontId="2" fillId="0" borderId="7" xfId="0" applyNumberFormat="1" applyFont="1" applyBorder="1"/>
    <xf numFmtId="0" fontId="2" fillId="0" borderId="7" xfId="0" applyFont="1" applyBorder="1"/>
    <xf numFmtId="43" fontId="11" fillId="0" borderId="9" xfId="1" applyFont="1" applyBorder="1"/>
    <xf numFmtId="0" fontId="6" fillId="2" borderId="0" xfId="0" applyFont="1" applyFill="1" applyAlignment="1">
      <alignment vertical="top"/>
    </xf>
    <xf numFmtId="0" fontId="3" fillId="2" borderId="0" xfId="0" applyFont="1" applyFill="1" applyAlignment="1">
      <alignment horizontal="left" vertical="center"/>
    </xf>
    <xf numFmtId="0" fontId="0" fillId="2" borderId="0" xfId="0" applyFill="1" applyAlignment="1">
      <alignment horizontal="left" vertical="center"/>
    </xf>
    <xf numFmtId="0" fontId="0" fillId="2" borderId="0" xfId="0" applyFill="1" applyAlignment="1">
      <alignment horizontal="left" vertical="center" indent="2"/>
    </xf>
    <xf numFmtId="0" fontId="6" fillId="2" borderId="0" xfId="0" applyFont="1" applyFill="1" applyAlignment="1">
      <alignment horizontal="left" vertical="center"/>
    </xf>
    <xf numFmtId="0" fontId="12" fillId="0" borderId="0" xfId="0" applyFont="1" applyAlignment="1">
      <alignment horizontal="right" vertical="center" indent="2"/>
    </xf>
    <xf numFmtId="0" fontId="13" fillId="0" borderId="0" xfId="0" applyFont="1"/>
    <xf numFmtId="0" fontId="15" fillId="0" borderId="7" xfId="0" applyFont="1" applyBorder="1"/>
    <xf numFmtId="0" fontId="16" fillId="0" borderId="0" xfId="0" applyFont="1" applyAlignment="1">
      <alignment horizontal="right"/>
    </xf>
    <xf numFmtId="43" fontId="13" fillId="0" borderId="7" xfId="0" applyNumberFormat="1" applyFont="1" applyBorder="1"/>
    <xf numFmtId="43" fontId="15" fillId="0" borderId="7" xfId="0" applyNumberFormat="1" applyFont="1" applyBorder="1"/>
    <xf numFmtId="0" fontId="17" fillId="0" borderId="0" xfId="0" applyFont="1" applyAlignment="1">
      <alignment horizontal="left" indent="1"/>
    </xf>
    <xf numFmtId="164" fontId="18" fillId="4" borderId="0" xfId="0" applyNumberFormat="1" applyFont="1" applyFill="1" applyAlignment="1">
      <alignment horizontal="center" vertical="center"/>
    </xf>
    <xf numFmtId="0" fontId="18" fillId="4" borderId="0" xfId="0" applyFont="1" applyFill="1" applyAlignment="1">
      <alignment horizontal="center" vertical="center"/>
    </xf>
    <xf numFmtId="0" fontId="19" fillId="0" borderId="0" xfId="0" applyFont="1" applyAlignment="1">
      <alignment horizontal="left" indent="1"/>
    </xf>
    <xf numFmtId="43" fontId="20" fillId="0" borderId="9" xfId="1" applyFont="1" applyBorder="1"/>
    <xf numFmtId="43" fontId="21" fillId="0" borderId="9" xfId="1" applyFont="1" applyBorder="1"/>
    <xf numFmtId="0" fontId="22" fillId="0" borderId="0" xfId="0" applyFont="1" applyAlignment="1">
      <alignment horizontal="left" indent="1"/>
    </xf>
    <xf numFmtId="0" fontId="15" fillId="0" borderId="8" xfId="0" applyFont="1" applyBorder="1" applyAlignment="1">
      <alignment horizontal="left" indent="1"/>
    </xf>
    <xf numFmtId="0" fontId="15" fillId="0" borderId="0" xfId="0" applyFont="1"/>
    <xf numFmtId="43" fontId="23" fillId="0" borderId="9" xfId="1" applyFont="1" applyBorder="1"/>
    <xf numFmtId="0" fontId="15" fillId="0" borderId="0" xfId="0" applyFont="1" applyAlignment="1">
      <alignment horizontal="left" indent="1"/>
    </xf>
    <xf numFmtId="164" fontId="18" fillId="5" borderId="0" xfId="0" applyNumberFormat="1" applyFont="1" applyFill="1" applyAlignment="1">
      <alignment horizontal="center" vertical="center"/>
    </xf>
    <xf numFmtId="0" fontId="18" fillId="5" borderId="0" xfId="0" applyFont="1" applyFill="1" applyAlignment="1">
      <alignment horizontal="center" vertical="center"/>
    </xf>
    <xf numFmtId="0" fontId="19" fillId="0" borderId="0" xfId="0" applyFont="1" applyAlignment="1">
      <alignment horizontal="left"/>
    </xf>
    <xf numFmtId="0" fontId="22" fillId="0" borderId="0" xfId="0" applyFont="1" applyAlignment="1">
      <alignment horizontal="left"/>
    </xf>
    <xf numFmtId="164" fontId="18" fillId="6" borderId="0" xfId="0" applyNumberFormat="1" applyFont="1" applyFill="1" applyAlignment="1">
      <alignment horizontal="center" vertical="center"/>
    </xf>
    <xf numFmtId="0" fontId="18" fillId="6" borderId="0" xfId="0" applyFont="1" applyFill="1" applyAlignment="1">
      <alignment horizontal="center" vertical="center"/>
    </xf>
    <xf numFmtId="0" fontId="13" fillId="0" borderId="0" xfId="0" applyFont="1" applyAlignment="1">
      <alignment horizontal="left" vertical="center" indent="2"/>
    </xf>
    <xf numFmtId="0" fontId="24" fillId="7" borderId="0" xfId="0" applyFont="1" applyFill="1" applyAlignment="1">
      <alignment horizontal="left" vertical="center" indent="1"/>
    </xf>
    <xf numFmtId="165" fontId="13" fillId="0" borderId="0" xfId="0" applyNumberFormat="1" applyFont="1" applyAlignment="1">
      <alignment horizontal="left" indent="1"/>
    </xf>
    <xf numFmtId="0" fontId="13" fillId="0" borderId="0" xfId="0" applyFont="1" applyAlignment="1">
      <alignment horizontal="left" indent="1"/>
    </xf>
    <xf numFmtId="41" fontId="13" fillId="0" borderId="0" xfId="2" applyNumberFormat="1" applyFont="1" applyAlignment="1">
      <alignment horizontal="left" indent="1"/>
    </xf>
    <xf numFmtId="0" fontId="24" fillId="0" borderId="0" xfId="0" applyFont="1" applyAlignment="1">
      <alignment horizontal="left" indent="1"/>
    </xf>
    <xf numFmtId="0" fontId="24" fillId="0" borderId="0" xfId="0" applyFont="1" applyAlignment="1">
      <alignment horizontal="right"/>
    </xf>
    <xf numFmtId="0" fontId="25" fillId="0" borderId="3" xfId="0" applyFont="1" applyBorder="1"/>
    <xf numFmtId="0" fontId="26" fillId="0" borderId="1" xfId="0" applyFont="1" applyBorder="1" applyAlignment="1">
      <alignment horizontal="left" vertical="center" indent="3"/>
    </xf>
    <xf numFmtId="0" fontId="2" fillId="0" borderId="1" xfId="0" applyFont="1" applyBorder="1" applyAlignment="1">
      <alignment horizontal="left" vertical="center" indent="4"/>
    </xf>
    <xf numFmtId="0" fontId="1" fillId="2" borderId="0" xfId="0" applyFont="1" applyFill="1" applyAlignment="1">
      <alignment horizontal="center"/>
    </xf>
    <xf numFmtId="165" fontId="27" fillId="0" borderId="0" xfId="0" applyNumberFormat="1" applyFont="1" applyAlignment="1">
      <alignment horizontal="right" indent="1"/>
    </xf>
    <xf numFmtId="0" fontId="4" fillId="8" borderId="0" xfId="0" applyFont="1" applyFill="1" applyAlignment="1">
      <alignment horizontal="center"/>
    </xf>
    <xf numFmtId="0" fontId="3" fillId="8" borderId="0" xfId="0" applyFont="1" applyFill="1"/>
    <xf numFmtId="0" fontId="0" fillId="8" borderId="0" xfId="0" applyFill="1"/>
    <xf numFmtId="0" fontId="28" fillId="8" borderId="0" xfId="0" applyFont="1" applyFill="1"/>
    <xf numFmtId="0" fontId="29" fillId="8" borderId="0" xfId="0" applyFont="1" applyFill="1"/>
    <xf numFmtId="0" fontId="2" fillId="0" borderId="0" xfId="0" applyFont="1"/>
    <xf numFmtId="165" fontId="0" fillId="0" borderId="0" xfId="0" applyNumberFormat="1"/>
    <xf numFmtId="41" fontId="0" fillId="0" borderId="0" xfId="0" applyNumberFormat="1"/>
    <xf numFmtId="41" fontId="13" fillId="0" borderId="0" xfId="2" applyNumberFormat="1" applyFont="1" applyAlignment="1">
      <alignment horizontal="left" indent="2"/>
    </xf>
    <xf numFmtId="0" fontId="24" fillId="0" borderId="0" xfId="0" applyFont="1" applyAlignment="1">
      <alignment horizontal="left" indent="2"/>
    </xf>
    <xf numFmtId="0" fontId="32" fillId="2" borderId="0" xfId="0" applyFont="1" applyFill="1" applyAlignment="1">
      <alignment horizontal="left" vertical="center"/>
    </xf>
    <xf numFmtId="0" fontId="0" fillId="10" borderId="0" xfId="0" applyFill="1"/>
    <xf numFmtId="0" fontId="32" fillId="10" borderId="0" xfId="0" applyFont="1" applyFill="1" applyAlignment="1">
      <alignment horizontal="left" vertical="center"/>
    </xf>
    <xf numFmtId="0" fontId="3" fillId="10" borderId="0" xfId="0" applyFont="1" applyFill="1" applyAlignment="1">
      <alignment horizontal="left" vertical="center"/>
    </xf>
    <xf numFmtId="0" fontId="0" fillId="10" borderId="0" xfId="0" applyFill="1" applyAlignment="1">
      <alignment horizontal="left" vertical="center"/>
    </xf>
    <xf numFmtId="0" fontId="33" fillId="0" borderId="14" xfId="0" applyFont="1" applyBorder="1" applyAlignment="1">
      <alignment horizontal="center" vertical="center"/>
    </xf>
    <xf numFmtId="0" fontId="33" fillId="0" borderId="13" xfId="0" applyFont="1" applyBorder="1" applyAlignment="1">
      <alignment horizontal="center" vertical="center"/>
    </xf>
    <xf numFmtId="0" fontId="33" fillId="0" borderId="15" xfId="0" applyFont="1" applyBorder="1" applyAlignment="1">
      <alignment horizontal="center" vertical="center"/>
    </xf>
    <xf numFmtId="0" fontId="33" fillId="0" borderId="9" xfId="0" applyFont="1" applyBorder="1" applyAlignment="1">
      <alignment horizontal="center" vertical="center"/>
    </xf>
    <xf numFmtId="166" fontId="33" fillId="0" borderId="9" xfId="0" applyNumberFormat="1" applyFont="1" applyBorder="1" applyAlignment="1">
      <alignment horizontal="center" vertical="center"/>
    </xf>
    <xf numFmtId="0" fontId="2" fillId="0" borderId="16" xfId="0" applyFont="1" applyBorder="1"/>
    <xf numFmtId="0" fontId="0" fillId="0" borderId="16" xfId="0" applyBorder="1"/>
    <xf numFmtId="0" fontId="0" fillId="0" borderId="0" xfId="0" applyAlignment="1">
      <alignment horizontal="right"/>
    </xf>
    <xf numFmtId="0" fontId="39" fillId="7" borderId="0" xfId="0" applyFont="1" applyFill="1" applyAlignment="1">
      <alignment horizontal="center" vertical="center"/>
    </xf>
    <xf numFmtId="0" fontId="39" fillId="7" borderId="17" xfId="0" applyFont="1" applyFill="1" applyBorder="1" applyAlignment="1">
      <alignment horizontal="center" vertical="center"/>
    </xf>
    <xf numFmtId="0" fontId="39" fillId="7" borderId="18" xfId="0" applyFont="1" applyFill="1" applyBorder="1" applyAlignment="1">
      <alignment horizontal="center" vertical="center"/>
    </xf>
    <xf numFmtId="0" fontId="0" fillId="0" borderId="17" xfId="0" applyBorder="1"/>
    <xf numFmtId="0" fontId="0" fillId="0" borderId="18" xfId="0" applyBorder="1"/>
    <xf numFmtId="0" fontId="19" fillId="0" borderId="7" xfId="0" applyFont="1" applyBorder="1" applyAlignment="1">
      <alignment horizontal="left"/>
    </xf>
    <xf numFmtId="41" fontId="0" fillId="0" borderId="18" xfId="0" applyNumberFormat="1" applyBorder="1"/>
    <xf numFmtId="0" fontId="39" fillId="7" borderId="19" xfId="0" applyFont="1" applyFill="1" applyBorder="1" applyAlignment="1">
      <alignment horizontal="center" vertical="center"/>
    </xf>
    <xf numFmtId="0" fontId="0" fillId="0" borderId="19" xfId="0" applyBorder="1"/>
    <xf numFmtId="0" fontId="40" fillId="0" borderId="0" xfId="0" applyFont="1"/>
    <xf numFmtId="0" fontId="40" fillId="0" borderId="0" xfId="0" applyFont="1" applyAlignment="1">
      <alignment horizontal="center" vertical="center"/>
    </xf>
    <xf numFmtId="9" fontId="40" fillId="0" borderId="0" xfId="3" applyFont="1" applyAlignment="1">
      <alignment horizontal="center" vertical="center"/>
    </xf>
    <xf numFmtId="167" fontId="40" fillId="0" borderId="0" xfId="1" applyNumberFormat="1" applyFont="1" applyAlignment="1">
      <alignment horizontal="center" vertical="center"/>
    </xf>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0" xfId="0" applyBorder="1"/>
    <xf numFmtId="0" fontId="0" fillId="0" borderId="21" xfId="0" applyBorder="1"/>
    <xf numFmtId="0" fontId="0" fillId="0" borderId="27" xfId="0" applyBorder="1"/>
    <xf numFmtId="0" fontId="41" fillId="0" borderId="27" xfId="0" applyFont="1" applyBorder="1"/>
    <xf numFmtId="0" fontId="15" fillId="0" borderId="28" xfId="0" applyFont="1" applyBorder="1" applyAlignment="1">
      <alignment horizontal="center"/>
    </xf>
    <xf numFmtId="0" fontId="0" fillId="0" borderId="0" xfId="0" applyAlignment="1">
      <alignment horizontal="center"/>
    </xf>
    <xf numFmtId="0" fontId="0" fillId="0" borderId="29" xfId="0" applyBorder="1" applyAlignment="1">
      <alignment horizontal="center"/>
    </xf>
    <xf numFmtId="0" fontId="15" fillId="0" borderId="0" xfId="0" applyFont="1" applyAlignment="1">
      <alignment horizontal="center"/>
    </xf>
    <xf numFmtId="0" fontId="2" fillId="0" borderId="0" xfId="0" applyFont="1" applyAlignment="1">
      <alignment horizontal="center"/>
    </xf>
    <xf numFmtId="167" fontId="0" fillId="0" borderId="29" xfId="1" applyNumberFormat="1" applyFont="1" applyBorder="1" applyAlignment="1">
      <alignment horizontal="center"/>
    </xf>
    <xf numFmtId="167" fontId="2" fillId="0" borderId="0" xfId="1" applyNumberFormat="1" applyFont="1" applyAlignment="1">
      <alignment horizontal="center"/>
    </xf>
    <xf numFmtId="0" fontId="45" fillId="0" borderId="0" xfId="0" applyFont="1" applyAlignment="1">
      <alignment horizontal="left" vertical="center" indent="1"/>
    </xf>
    <xf numFmtId="167" fontId="45" fillId="0" borderId="0" xfId="1" applyNumberFormat="1" applyFont="1" applyAlignment="1">
      <alignment vertical="center"/>
    </xf>
    <xf numFmtId="0" fontId="23" fillId="0" borderId="30" xfId="0" applyFont="1" applyBorder="1" applyAlignment="1">
      <alignment horizontal="left" vertical="center" indent="1"/>
    </xf>
    <xf numFmtId="167" fontId="23" fillId="0" borderId="30" xfId="1" applyNumberFormat="1" applyFont="1" applyBorder="1" applyAlignment="1">
      <alignment vertical="center"/>
    </xf>
    <xf numFmtId="167" fontId="0" fillId="0" borderId="0" xfId="1" applyNumberFormat="1" applyFont="1" applyAlignment="1">
      <alignment horizontal="center" wrapText="1"/>
    </xf>
    <xf numFmtId="0" fontId="46" fillId="0" borderId="0" xfId="0" applyFont="1"/>
    <xf numFmtId="0" fontId="42" fillId="0" borderId="27" xfId="0" applyFont="1" applyBorder="1"/>
    <xf numFmtId="0" fontId="2" fillId="0" borderId="28" xfId="0" applyFont="1" applyBorder="1" applyAlignment="1">
      <alignment horizontal="center"/>
    </xf>
    <xf numFmtId="0" fontId="0" fillId="0" borderId="28" xfId="0" applyBorder="1" applyAlignment="1">
      <alignment horizontal="center"/>
    </xf>
    <xf numFmtId="167" fontId="0" fillId="0" borderId="0" xfId="1" applyNumberFormat="1" applyFont="1" applyBorder="1" applyAlignment="1">
      <alignment horizontal="center"/>
    </xf>
    <xf numFmtId="167" fontId="0" fillId="0" borderId="28" xfId="1" applyNumberFormat="1" applyFont="1" applyBorder="1" applyAlignment="1">
      <alignment horizontal="center"/>
    </xf>
    <xf numFmtId="0" fontId="34" fillId="0" borderId="0" xfId="0" applyFont="1"/>
    <xf numFmtId="0" fontId="33" fillId="0" borderId="0" xfId="0" applyFont="1"/>
    <xf numFmtId="167" fontId="0" fillId="0" borderId="0" xfId="1" applyNumberFormat="1" applyFont="1" applyAlignment="1">
      <alignment horizontal="center"/>
    </xf>
    <xf numFmtId="0" fontId="0" fillId="0" borderId="16" xfId="0" applyBorder="1" applyAlignment="1">
      <alignment horizontal="right"/>
    </xf>
    <xf numFmtId="9" fontId="0" fillId="0" borderId="0" xfId="3" applyFont="1"/>
    <xf numFmtId="167" fontId="0" fillId="0" borderId="0" xfId="0" applyNumberFormat="1"/>
    <xf numFmtId="168" fontId="0" fillId="0" borderId="0" xfId="3" applyNumberFormat="1" applyFont="1"/>
    <xf numFmtId="0" fontId="19" fillId="0" borderId="0" xfId="0" applyFont="1" applyAlignment="1">
      <alignment horizontal="left" vertical="center" indent="1"/>
    </xf>
    <xf numFmtId="0" fontId="1" fillId="2" borderId="0" xfId="0" applyFont="1" applyFill="1" applyAlignment="1">
      <alignment horizontal="center"/>
    </xf>
    <xf numFmtId="0" fontId="48" fillId="0" borderId="3" xfId="0" applyFont="1" applyBorder="1" applyAlignment="1">
      <alignment horizontal="left" vertical="top" wrapText="1"/>
    </xf>
    <xf numFmtId="0" fontId="48" fillId="0" borderId="3" xfId="0" applyFont="1" applyBorder="1" applyAlignment="1">
      <alignment horizontal="left" vertical="top"/>
    </xf>
    <xf numFmtId="0" fontId="14" fillId="2" borderId="0" xfId="0" applyFont="1" applyFill="1" applyAlignment="1">
      <alignment horizontal="center"/>
    </xf>
    <xf numFmtId="0" fontId="7" fillId="2" borderId="0" xfId="0" applyFont="1" applyFill="1" applyAlignment="1">
      <alignment horizontal="center" vertical="center"/>
    </xf>
    <xf numFmtId="0" fontId="34" fillId="2" borderId="0" xfId="0" applyFont="1" applyFill="1" applyAlignment="1">
      <alignment horizontal="center" vertical="center"/>
    </xf>
    <xf numFmtId="0" fontId="35" fillId="2" borderId="0" xfId="0" applyFont="1" applyFill="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34" fillId="11" borderId="12" xfId="0" applyFont="1" applyFill="1" applyBorder="1" applyAlignment="1">
      <alignment horizontal="center" vertical="center"/>
    </xf>
    <xf numFmtId="0" fontId="36" fillId="0" borderId="0" xfId="0" applyFont="1" applyAlignment="1">
      <alignment horizontal="right" vertical="center" indent="1"/>
    </xf>
    <xf numFmtId="0" fontId="36" fillId="0" borderId="0" xfId="0" applyFont="1" applyAlignment="1">
      <alignment horizontal="right" vertical="center"/>
    </xf>
    <xf numFmtId="166" fontId="34" fillId="11" borderId="12" xfId="0" applyNumberFormat="1" applyFont="1" applyFill="1" applyBorder="1" applyAlignment="1">
      <alignment horizontal="center" vertical="center"/>
    </xf>
    <xf numFmtId="164" fontId="0" fillId="0" borderId="0" xfId="0" applyNumberFormat="1" applyAlignment="1">
      <alignment horizontal="center" vertical="center"/>
    </xf>
    <xf numFmtId="164" fontId="0" fillId="0" borderId="28" xfId="0" applyNumberFormat="1" applyBorder="1" applyAlignment="1">
      <alignment horizontal="center" vertical="center"/>
    </xf>
    <xf numFmtId="0" fontId="31" fillId="9" borderId="0" xfId="0" applyFont="1" applyFill="1" applyAlignment="1">
      <alignment horizontal="left" vertical="center" indent="1"/>
    </xf>
    <xf numFmtId="0" fontId="30" fillId="9" borderId="0" xfId="0" applyFont="1" applyFill="1" applyAlignment="1">
      <alignment horizontal="left" vertical="center" indent="1"/>
    </xf>
    <xf numFmtId="0" fontId="14" fillId="2" borderId="0" xfId="0" applyFont="1" applyFill="1" applyAlignment="1">
      <alignment horizontal="center" vertical="center"/>
    </xf>
    <xf numFmtId="0" fontId="3" fillId="2" borderId="0" xfId="0" applyFont="1" applyFill="1" applyAlignment="1">
      <alignment horizontal="center" vertical="center"/>
    </xf>
    <xf numFmtId="0" fontId="15" fillId="12" borderId="0" xfId="0" applyFont="1" applyFill="1" applyAlignment="1">
      <alignment horizontal="center" vertical="center"/>
    </xf>
    <xf numFmtId="0" fontId="0" fillId="12" borderId="0" xfId="0" applyFill="1" applyAlignment="1">
      <alignment horizontal="center" vertical="center"/>
    </xf>
  </cellXfs>
  <cellStyles count="4">
    <cellStyle name="Comma" xfId="1" builtinId="3"/>
    <cellStyle name="Currency" xfId="2" builtinId="4"/>
    <cellStyle name="Normal" xfId="0" builtinId="0"/>
    <cellStyle name="Per cent" xfId="3" builtinId="5"/>
  </cellStyles>
  <dxfs count="67">
    <dxf>
      <fill>
        <patternFill>
          <bgColor rgb="FFF1F0FE"/>
        </patternFill>
      </fill>
    </dxf>
    <dxf>
      <fill>
        <patternFill>
          <bgColor theme="3" tint="0.89996032593768116"/>
        </patternFill>
      </fill>
    </dxf>
    <dxf>
      <fill>
        <patternFill>
          <bgColor theme="3" tint="0.749961851863155"/>
        </patternFill>
      </fill>
    </dxf>
    <dxf>
      <fill>
        <patternFill>
          <bgColor theme="3" tint="0.499984740745262"/>
        </patternFill>
      </fill>
    </dxf>
    <dxf>
      <fill>
        <patternFill>
          <bgColor theme="3" tint="0.24994659260841701"/>
        </patternFill>
      </fill>
    </dxf>
    <dxf>
      <fill>
        <patternFill>
          <bgColor theme="3" tint="9.9948118533890809E-2"/>
        </patternFill>
      </fill>
    </dxf>
    <dxf>
      <fill>
        <patternFill>
          <bgColor rgb="FFFFE3E1"/>
        </patternFill>
      </fill>
    </dxf>
    <dxf>
      <fill>
        <patternFill>
          <bgColor rgb="FFFED0C2"/>
        </patternFill>
      </fill>
    </dxf>
    <dxf>
      <fill>
        <patternFill>
          <bgColor rgb="FFFDA1A1"/>
        </patternFill>
      </fill>
    </dxf>
    <dxf>
      <fill>
        <patternFill>
          <bgColor rgb="FFFA7272"/>
        </patternFill>
      </fill>
    </dxf>
    <dxf>
      <fill>
        <patternFill>
          <bgColor rgb="FFFA4532"/>
        </patternFill>
      </fill>
    </dxf>
    <dxf>
      <fill>
        <patternFill>
          <bgColor rgb="FFC00000"/>
        </patternFill>
      </fill>
    </dxf>
    <dxf>
      <fill>
        <patternFill>
          <bgColor rgb="FFE7F7E1"/>
        </patternFill>
      </fill>
    </dxf>
    <dxf>
      <fill>
        <patternFill>
          <bgColor theme="9" tint="0.79998168889431442"/>
        </patternFill>
      </fill>
    </dxf>
    <dxf>
      <fill>
        <patternFill>
          <bgColor theme="9" tint="0.59996337778862885"/>
        </patternFill>
      </fill>
    </dxf>
    <dxf>
      <fill>
        <patternFill>
          <bgColor rgb="FF91DB77"/>
        </patternFill>
      </fill>
    </dxf>
    <dxf>
      <fill>
        <patternFill>
          <bgColor rgb="FF5DC135"/>
        </patternFill>
      </fill>
    </dxf>
    <dxf>
      <fill>
        <patternFill>
          <bgColor theme="9" tint="-0.24994659260841701"/>
        </patternFill>
      </fill>
    </dxf>
    <dxf>
      <fill>
        <patternFill>
          <bgColor theme="7" tint="0.59996337778862885"/>
        </patternFill>
      </fill>
    </dxf>
    <dxf>
      <fill>
        <patternFill>
          <bgColor rgb="FFFE668E"/>
        </patternFill>
      </fill>
    </dxf>
    <dxf>
      <fill>
        <patternFill>
          <bgColor theme="6" tint="0.79998168889431442"/>
        </patternFill>
      </fill>
    </dxf>
    <dxf>
      <font>
        <b/>
        <i val="0"/>
        <color theme="0"/>
      </font>
      <fill>
        <patternFill>
          <bgColor rgb="FF0070C0"/>
        </patternFill>
      </fill>
    </dxf>
    <dxf>
      <font>
        <b/>
        <i val="0"/>
        <color theme="0"/>
      </font>
      <fill>
        <patternFill>
          <bgColor rgb="FFFF0066"/>
        </patternFill>
      </fill>
    </dxf>
    <dxf>
      <font>
        <b/>
        <i val="0"/>
        <color theme="0"/>
      </font>
      <fill>
        <patternFill>
          <bgColor theme="6" tint="0.39994506668294322"/>
        </patternFill>
      </fill>
    </dxf>
    <dxf>
      <font>
        <b/>
        <i val="0"/>
      </font>
      <border>
        <top style="thin">
          <color auto="1"/>
        </top>
        <vertical/>
        <horizontal/>
      </border>
    </dxf>
    <dxf>
      <font>
        <color theme="0" tint="-0.499984740745262"/>
      </font>
      <numFmt numFmtId="169" formatCode="\→d/mmm/yy"/>
    </dxf>
    <dxf>
      <font>
        <b/>
        <i val="0"/>
        <color theme="6" tint="0.39994506668294322"/>
      </font>
      <numFmt numFmtId="1" formatCode="0"/>
    </dxf>
    <dxf>
      <font>
        <color rgb="FFFF0000"/>
      </font>
    </dxf>
    <dxf>
      <font>
        <color theme="1"/>
      </font>
      <fill>
        <patternFill>
          <bgColor theme="7" tint="0.79998168889431442"/>
        </patternFill>
      </fill>
    </dxf>
    <dxf>
      <font>
        <color theme="1"/>
      </font>
      <fill>
        <patternFill>
          <bgColor rgb="FFF3CCC3"/>
        </patternFill>
      </fill>
    </dxf>
    <dxf>
      <font>
        <color theme="1"/>
      </font>
      <fill>
        <patternFill>
          <bgColor rgb="FFF3CCC3"/>
        </patternFill>
      </fill>
    </dxf>
    <dxf>
      <font>
        <color theme="1"/>
      </font>
      <fill>
        <patternFill>
          <bgColor theme="6" tint="0.79998168889431442"/>
        </patternFill>
      </fill>
    </dxf>
    <dxf>
      <font>
        <color rgb="FFFF0000"/>
      </font>
    </dxf>
    <dxf>
      <font>
        <color rgb="FF00B050"/>
      </font>
    </dxf>
    <dxf>
      <font>
        <color theme="2" tint="-0.24994659260841701"/>
      </font>
    </dxf>
    <dxf>
      <font>
        <color theme="1"/>
      </font>
      <fill>
        <patternFill>
          <bgColor rgb="FFF3CCC3"/>
        </patternFill>
      </fill>
    </dxf>
    <dxf>
      <font>
        <color theme="1"/>
      </font>
      <fill>
        <patternFill>
          <bgColor theme="7" tint="0.79998168889431442"/>
        </patternFill>
      </fill>
    </dxf>
    <dxf>
      <font>
        <color theme="1"/>
      </font>
      <fill>
        <patternFill>
          <bgColor theme="6" tint="0.79998168889431442"/>
        </patternFill>
      </fill>
    </dxf>
    <dxf>
      <font>
        <color theme="0" tint="-0.14996795556505021"/>
      </font>
      <fill>
        <patternFill>
          <bgColor theme="0" tint="-0.14996795556505021"/>
        </patternFill>
      </fill>
    </dxf>
    <dxf>
      <font>
        <color theme="0" tint="-0.24994659260841701"/>
      </font>
      <fill>
        <patternFill>
          <bgColor theme="0" tint="-0.14996795556505021"/>
        </patternFill>
      </fill>
    </dxf>
    <dxf>
      <font>
        <strike val="0"/>
        <outline val="0"/>
        <shadow val="0"/>
        <u val="none"/>
        <vertAlign val="baseline"/>
        <sz val="11"/>
        <color theme="0" tint="-0.249977111117893"/>
        <name val="Calibri"/>
        <family val="2"/>
        <scheme val="none"/>
      </font>
      <numFmt numFmtId="165" formatCode="d/mmm/yy"/>
      <alignment horizontal="right" vertical="bottom" textRotation="0" wrapText="0" indent="1" justifyLastLine="0" shrinkToFit="0" readingOrder="0"/>
    </dxf>
    <dxf>
      <font>
        <strike val="0"/>
        <outline val="0"/>
        <shadow val="0"/>
        <u val="none"/>
        <vertAlign val="baseline"/>
        <sz val="11"/>
        <color theme="0" tint="-0.499984740745262"/>
        <name val="Calibri"/>
        <family val="2"/>
        <scheme val="none"/>
      </font>
      <numFmt numFmtId="0" formatCode="General"/>
      <alignment horizontal="right" vertical="bottom" textRotation="0" wrapText="0" indent="0" justifyLastLine="0" shrinkToFit="0" readingOrder="0"/>
    </dxf>
    <dxf>
      <font>
        <strike val="0"/>
        <outline val="0"/>
        <shadow val="0"/>
        <u val="none"/>
        <vertAlign val="baseline"/>
        <sz val="11"/>
        <color theme="0" tint="-0.499984740745262"/>
        <name val="Calibri"/>
        <family val="2"/>
        <scheme val="none"/>
      </font>
      <alignment horizontal="left" vertical="bottom" textRotation="0" wrapText="0" relativeIndent="1" justifyLastLine="0" shrinkToFit="0" readingOrder="0"/>
    </dxf>
    <dxf>
      <font>
        <strike val="0"/>
        <outline val="0"/>
        <shadow val="0"/>
        <u val="none"/>
        <vertAlign val="baseline"/>
        <sz val="11"/>
        <color theme="1"/>
        <name val="Calibri"/>
        <family val="2"/>
        <scheme val="none"/>
      </font>
      <numFmt numFmtId="33" formatCode="_-* #,##0_-;\-* #,##0_-;_-* &quot;-&quot;_-;_-@_-"/>
      <alignment horizontal="left" vertical="bottom" textRotation="0" wrapText="0" relativeIndent="1" justifyLastLine="0" shrinkToFit="0" readingOrder="0"/>
    </dxf>
    <dxf>
      <font>
        <strike val="0"/>
        <outline val="0"/>
        <shadow val="0"/>
        <u val="none"/>
        <vertAlign val="baseline"/>
        <sz val="11"/>
        <color theme="1"/>
        <name val="Calibri"/>
        <family val="2"/>
        <scheme val="none"/>
      </font>
      <alignment horizontal="left" vertical="bottom" textRotation="0" wrapText="0" relativeIndent="1" justifyLastLine="0" shrinkToFit="0" readingOrder="0"/>
    </dxf>
    <dxf>
      <font>
        <strike val="0"/>
        <outline val="0"/>
        <shadow val="0"/>
        <u val="none"/>
        <vertAlign val="baseline"/>
        <sz val="11"/>
        <color theme="1"/>
        <name val="Calibri"/>
        <family val="2"/>
        <scheme val="none"/>
      </font>
      <alignment horizontal="left" vertical="bottom" textRotation="0" wrapText="0" relativeIndent="1" justifyLastLine="0" shrinkToFit="0" readingOrder="0"/>
    </dxf>
    <dxf>
      <font>
        <strike val="0"/>
        <outline val="0"/>
        <shadow val="0"/>
        <u val="none"/>
        <vertAlign val="baseline"/>
        <sz val="11"/>
        <color theme="1"/>
        <name val="Calibri"/>
        <family val="2"/>
        <scheme val="none"/>
      </font>
      <numFmt numFmtId="165" formatCode="d/mmm/yy"/>
      <alignment horizontal="left" vertical="bottom" textRotation="0" wrapText="0" relativeIndent="1" justifyLastLine="0" shrinkToFit="0" readingOrder="0"/>
    </dxf>
    <dxf>
      <font>
        <strike val="0"/>
        <outline val="0"/>
        <shadow val="0"/>
        <u val="none"/>
        <vertAlign val="baseline"/>
        <sz val="11"/>
        <color theme="1"/>
        <name val="Calibri"/>
        <family val="2"/>
        <scheme val="none"/>
      </font>
      <alignment horizontal="left" vertical="bottom" textRotation="0" wrapText="0" relativeIndent="1" justifyLastLine="0" shrinkToFit="0" readingOrder="0"/>
    </dxf>
    <dxf>
      <font>
        <strike val="0"/>
        <outline val="0"/>
        <shadow val="0"/>
        <u val="none"/>
        <vertAlign val="baseline"/>
        <sz val="11"/>
        <name val="Calibri"/>
        <family val="2"/>
        <scheme val="none"/>
      </font>
      <alignment horizontal="left" vertical="center" textRotation="0" wrapText="0" relativeIndent="1" justifyLastLine="0" shrinkToFit="0" readingOrder="0"/>
    </dxf>
    <dxf>
      <font>
        <b/>
        <i val="0"/>
        <strike val="0"/>
        <condense val="0"/>
        <extend val="0"/>
        <outline val="0"/>
        <shadow val="0"/>
        <u val="none"/>
        <vertAlign val="baseline"/>
        <sz val="10"/>
        <color theme="0" tint="-0.499984740745262"/>
        <name val="Calibri"/>
        <family val="2"/>
        <scheme val="none"/>
      </font>
      <alignment horizontal="left" vertical="bottom" textRotation="0" wrapText="0" relativeIndent="-1" justifyLastLine="0" shrinkToFit="0" readingOrder="0"/>
    </dxf>
    <dxf>
      <font>
        <b/>
        <i val="0"/>
        <strike val="0"/>
        <condense val="0"/>
        <extend val="0"/>
        <outline val="0"/>
        <shadow val="0"/>
        <u val="none"/>
        <vertAlign val="baseline"/>
        <sz val="10"/>
        <color theme="0" tint="-0.499984740745262"/>
        <name val="Calibri"/>
        <family val="2"/>
        <scheme val="none"/>
      </font>
      <alignment horizontal="left" vertical="bottom" textRotation="0" wrapText="0" relativeIndent="-1" justifyLastLine="0" shrinkToFit="0" readingOrder="0"/>
    </dxf>
    <dxf>
      <font>
        <b/>
        <i val="0"/>
        <strike val="0"/>
        <condense val="0"/>
        <extend val="0"/>
        <outline val="0"/>
        <shadow val="0"/>
        <u val="none"/>
        <vertAlign val="baseline"/>
        <sz val="14"/>
        <color theme="1"/>
        <name val="Calibri"/>
        <family val="2"/>
        <scheme val="none"/>
      </font>
      <alignment horizontal="left" vertical="bottom" textRotation="0" wrapText="0" relativeIndent="-1" justifyLastLine="0" shrinkToFit="0" readingOrder="0"/>
    </dxf>
    <dxf>
      <font>
        <b/>
        <i val="0"/>
        <strike val="0"/>
        <condense val="0"/>
        <extend val="0"/>
        <outline val="0"/>
        <shadow val="0"/>
        <u val="none"/>
        <vertAlign val="baseline"/>
        <sz val="10"/>
        <color theme="0" tint="-0.499984740745262"/>
        <name val="Calibri"/>
        <family val="2"/>
        <scheme val="none"/>
      </font>
      <alignment horizontal="left" vertical="center" textRotation="0" wrapText="0" indent="1" justifyLastLine="0" shrinkToFit="0" readingOrder="0"/>
    </dxf>
    <dxf>
      <font>
        <b/>
        <i val="0"/>
        <strike val="0"/>
        <condense val="0"/>
        <extend val="0"/>
        <outline val="0"/>
        <shadow val="0"/>
        <u val="none"/>
        <vertAlign val="baseline"/>
        <sz val="10"/>
        <color theme="0" tint="-0.499984740745262"/>
        <name val="Calibri"/>
        <family val="2"/>
        <scheme val="none"/>
      </font>
      <alignment horizontal="left" vertical="center" textRotation="0" wrapText="0" indent="1" justifyLastLine="0" shrinkToFit="0" readingOrder="0"/>
    </dxf>
    <dxf>
      <font>
        <b/>
        <i val="0"/>
        <strike val="0"/>
        <condense val="0"/>
        <extend val="0"/>
        <outline val="0"/>
        <shadow val="0"/>
        <u val="none"/>
        <vertAlign val="baseline"/>
        <sz val="14"/>
        <color theme="1"/>
        <name val="Calibri"/>
        <family val="2"/>
        <scheme val="none"/>
      </font>
      <alignment horizontal="left" vertical="bottom" textRotation="0" wrapText="0" relativeIndent="-1" justifyLastLine="0" shrinkToFit="0" readingOrder="0"/>
    </dxf>
    <dxf>
      <font>
        <b/>
        <i val="0"/>
        <strike val="0"/>
        <condense val="0"/>
        <extend val="0"/>
        <outline val="0"/>
        <shadow val="0"/>
        <u val="none"/>
        <vertAlign val="baseline"/>
        <sz val="10"/>
        <color theme="0" tint="-0.499984740745262"/>
        <name val="Calibri"/>
        <family val="2"/>
        <scheme val="none"/>
      </font>
      <alignment horizontal="left" vertical="bottom" textRotation="0" wrapText="0" relativeIndent="-1" justifyLastLine="0" shrinkToFit="0" readingOrder="0"/>
    </dxf>
    <dxf>
      <font>
        <b/>
        <i val="0"/>
        <strike val="0"/>
        <condense val="0"/>
        <extend val="0"/>
        <outline val="0"/>
        <shadow val="0"/>
        <u val="none"/>
        <vertAlign val="baseline"/>
        <sz val="10"/>
        <color theme="0" tint="-0.499984740745262"/>
        <name val="Calibri"/>
        <family val="2"/>
        <scheme val="none"/>
      </font>
      <alignment horizontal="left" vertical="bottom" textRotation="0" wrapText="0" relativeIndent="-1" justifyLastLine="0" shrinkToFit="0" readingOrder="0"/>
    </dxf>
    <dxf>
      <font>
        <b/>
        <i val="0"/>
        <strike val="0"/>
        <condense val="0"/>
        <extend val="0"/>
        <outline val="0"/>
        <shadow val="0"/>
        <u val="none"/>
        <vertAlign val="baseline"/>
        <sz val="14"/>
        <color theme="1"/>
        <name val="Calibri"/>
        <family val="2"/>
        <scheme val="none"/>
      </font>
      <alignment horizontal="left" vertical="bottom" textRotation="0" wrapText="0" relativeIndent="-1" justifyLastLine="0" shrinkToFit="0" readingOrder="0"/>
    </dxf>
    <dxf>
      <fill>
        <patternFill>
          <bgColor theme="0" tint="-4.9989318521683403E-2"/>
        </patternFill>
      </fill>
    </dxf>
    <dxf>
      <font>
        <b/>
        <i val="0"/>
        <color theme="0"/>
      </font>
      <fill>
        <patternFill>
          <bgColor theme="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theme="0"/>
      </font>
      <fill>
        <patternFill>
          <bgColor theme="3" tint="0.49998474074526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rgb="FF00B050"/>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rgb="FFFF0000"/>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TableStyleMedium2" defaultPivotStyle="PivotStyleLight16">
    <tableStyle name="Expenses table style 2" pivot="0" count="2" xr9:uid="{A299BEAF-CEA1-4F83-99B7-855E3F1B7ADB}">
      <tableStyleElement type="wholeTable" dxfId="66"/>
      <tableStyleElement type="headerRow" dxfId="65"/>
    </tableStyle>
    <tableStyle name="income table style" pivot="0" count="2" xr9:uid="{2CEF589F-DC93-4057-856E-527E5603DA88}">
      <tableStyleElement type="wholeTable" dxfId="64"/>
      <tableStyleElement type="headerRow" dxfId="63"/>
    </tableStyle>
    <tableStyle name="Savings table style 2" pivot="0" count="2" xr9:uid="{3069CA3C-E670-4EB6-83DC-55963BE19B2B}">
      <tableStyleElement type="wholeTable" dxfId="62"/>
      <tableStyleElement type="headerRow" dxfId="61"/>
    </tableStyle>
    <tableStyle name="tracking table style" pivot="0" count="3" xr9:uid="{9B6DEB0D-44FD-484E-80DA-2B065A732357}">
      <tableStyleElement type="wholeTable" dxfId="60"/>
      <tableStyleElement type="headerRow" dxfId="59"/>
      <tableStyleElement type="firstRowStripe" dxfId="58"/>
    </tableStyle>
  </tableStyles>
  <colors>
    <mruColors>
      <color rgb="FF777777"/>
      <color rgb="FFD3D3D3"/>
      <color rgb="FFC4C4C4"/>
      <color rgb="FFFFCAB9"/>
      <color rgb="FFFFE3E1"/>
      <color rgb="FFF86256"/>
      <color rgb="FFFCC3B8"/>
      <color rgb="FFC7C7C7"/>
      <color rgb="FFCDCDCD"/>
      <color rgb="FFFB9A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2/10/relationships/richValueRel" Target="richData/richValueRel.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1350937858407"/>
          <c:y val="0.10139079515287233"/>
          <c:w val="0.55751737090177955"/>
          <c:h val="0.73016733821674951"/>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4B5-419B-B9FF-2092DADEA4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4B5-419B-B9FF-2092DADEA4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4B5-419B-B9FF-2092DADEA4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4B5-419B-B9FF-2092DADEA4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4B5-419B-B9FF-2092DADEA46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4B5-419B-B9FF-2092DADEA462}"/>
              </c:ext>
            </c:extLst>
          </c:dPt>
          <c:cat>
            <c:multiLvlStrRef>
              <c:f>Calculations!$E$36:$E$41</c:f>
            </c:multiLvlStrRef>
          </c:cat>
          <c:val>
            <c:numRef>
              <c:f>Calculations!$F$36:$F$41</c:f>
              <c:numCache>
                <c:formatCode>General</c:formatCode>
                <c:ptCount val="6"/>
              </c:numCache>
            </c:numRef>
          </c:val>
          <c:extLst>
            <c:ext xmlns:c16="http://schemas.microsoft.com/office/drawing/2014/chart" uri="{C3380CC4-5D6E-409C-BE32-E72D297353CC}">
              <c16:uniqueId val="{0000000C-B4B5-419B-B9FF-2092DADEA462}"/>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E-B4B5-419B-B9FF-2092DADEA4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0-B4B5-419B-B9FF-2092DADEA4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2-B4B5-419B-B9FF-2092DADEA4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4-B4B5-419B-B9FF-2092DADEA4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6-B4B5-419B-B9FF-2092DADEA46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8-B4B5-419B-B9FF-2092DADEA462}"/>
              </c:ext>
            </c:extLst>
          </c:dPt>
          <c:cat>
            <c:multiLvlStrRef>
              <c:f>Calculations!$E$36:$E$41</c:f>
            </c:multiLvlStrRef>
          </c:cat>
          <c:val>
            <c:numRef>
              <c:f>Calculations!$G$36:$G$41</c:f>
              <c:numCache>
                <c:formatCode>General</c:formatCode>
                <c:ptCount val="6"/>
              </c:numCache>
            </c:numRef>
          </c:val>
          <c:extLst>
            <c:ext xmlns:c16="http://schemas.microsoft.com/office/drawing/2014/chart" uri="{C3380CC4-5D6E-409C-BE32-E72D297353CC}">
              <c16:uniqueId val="{00000019-B4B5-419B-B9FF-2092DADEA462}"/>
            </c:ext>
          </c:extLst>
        </c:ser>
        <c:ser>
          <c:idx val="2"/>
          <c:order val="2"/>
          <c:dPt>
            <c:idx val="0"/>
            <c:bubble3D val="0"/>
            <c:spPr>
              <a:solidFill>
                <a:schemeClr val="accent1"/>
              </a:solidFill>
              <a:ln w="19050">
                <a:solidFill>
                  <a:schemeClr val="lt1"/>
                </a:solidFill>
              </a:ln>
              <a:effectLst/>
            </c:spPr>
            <c:extLst>
              <c:ext xmlns:c16="http://schemas.microsoft.com/office/drawing/2014/chart" uri="{C3380CC4-5D6E-409C-BE32-E72D297353CC}">
                <c16:uniqueId val="{0000001B-B4B5-419B-B9FF-2092DADEA4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D-B4B5-419B-B9FF-2092DADEA4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F-B4B5-419B-B9FF-2092DADEA4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1-B4B5-419B-B9FF-2092DADEA4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3-B4B5-419B-B9FF-2092DADEA46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5-B4B5-419B-B9FF-2092DADEA462}"/>
              </c:ext>
            </c:extLst>
          </c:dPt>
          <c:cat>
            <c:multiLvlStrRef>
              <c:f>Calculations!$E$36:$E$41</c:f>
            </c:multiLvlStrRef>
          </c:cat>
          <c:val>
            <c:numRef>
              <c:f>Calculations!$H$36:$H$41</c:f>
              <c:numCache>
                <c:formatCode>General</c:formatCode>
                <c:ptCount val="6"/>
              </c:numCache>
            </c:numRef>
          </c:val>
          <c:extLst>
            <c:ext xmlns:c16="http://schemas.microsoft.com/office/drawing/2014/chart" uri="{C3380CC4-5D6E-409C-BE32-E72D297353CC}">
              <c16:uniqueId val="{00000026-B4B5-419B-B9FF-2092DADEA462}"/>
            </c:ext>
          </c:extLst>
        </c:ser>
        <c:ser>
          <c:idx val="3"/>
          <c:order val="3"/>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28-B4B5-419B-B9FF-2092DADEA462}"/>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A-B4B5-419B-B9FF-2092DADEA462}"/>
              </c:ext>
            </c:extLst>
          </c:dPt>
          <c:dPt>
            <c:idx val="2"/>
            <c:bubble3D val="0"/>
            <c:spPr>
              <a:solidFill>
                <a:srgbClr val="CFEFC3"/>
              </a:solidFill>
              <a:ln w="19050">
                <a:solidFill>
                  <a:schemeClr val="lt1"/>
                </a:solidFill>
              </a:ln>
              <a:effectLst/>
            </c:spPr>
            <c:extLst>
              <c:ext xmlns:c16="http://schemas.microsoft.com/office/drawing/2014/chart" uri="{C3380CC4-5D6E-409C-BE32-E72D297353CC}">
                <c16:uniqueId val="{0000002C-B4B5-419B-B9FF-2092DADEA462}"/>
              </c:ext>
            </c:extLst>
          </c:dPt>
          <c:dPt>
            <c:idx val="3"/>
            <c:bubble3D val="0"/>
            <c:spPr>
              <a:solidFill>
                <a:srgbClr val="EBFBE1"/>
              </a:solidFill>
              <a:ln w="19050">
                <a:solidFill>
                  <a:schemeClr val="lt1"/>
                </a:solidFill>
              </a:ln>
              <a:effectLst/>
            </c:spPr>
            <c:extLst>
              <c:ext xmlns:c16="http://schemas.microsoft.com/office/drawing/2014/chart" uri="{C3380CC4-5D6E-409C-BE32-E72D297353CC}">
                <c16:uniqueId val="{0000002E-B4B5-419B-B9FF-2092DADEA462}"/>
              </c:ext>
            </c:extLst>
          </c:dPt>
          <c:dPt>
            <c:idx val="4"/>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30-B4B5-419B-B9FF-2092DADEA46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32-B4B5-419B-B9FF-2092DADEA462}"/>
              </c:ext>
            </c:extLst>
          </c:dPt>
          <c:cat>
            <c:multiLvlStrRef>
              <c:f>Calculations!$E$36:$E$41</c:f>
            </c:multiLvlStrRef>
          </c:cat>
          <c:val>
            <c:numRef>
              <c:f>Calculations!$I$36:$I$41</c:f>
              <c:numCache>
                <c:formatCode>_-* #,##0_-;\-* #,##0_-;_-*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33-B4B5-419B-B9FF-2092DADEA462}"/>
            </c:ext>
          </c:extLst>
        </c:ser>
        <c:dLbls>
          <c:showLegendKey val="0"/>
          <c:showVal val="0"/>
          <c:showCatName val="0"/>
          <c:showSerName val="0"/>
          <c:showPercent val="0"/>
          <c:showBubbleSize val="0"/>
          <c:showLeaderLines val="1"/>
        </c:dLbls>
        <c:firstSliceAng val="0"/>
        <c:holeSize val="0"/>
      </c:doughnutChart>
      <c:spPr>
        <a:noFill/>
        <a:ln>
          <a:noFill/>
        </a:ln>
        <a:effectLst>
          <a:outerShdw blurRad="50800" dist="50800" dir="5400000" sx="1000" sy="1000" algn="ctr" rotWithShape="0">
            <a:srgbClr val="000000">
              <a:alpha val="43137"/>
            </a:srgbClr>
          </a:outerShdw>
          <a:softEdge rad="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glow>
        <a:schemeClr val="accent1">
          <a:alpha val="40000"/>
        </a:schemeClr>
      </a:glow>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1350937858407"/>
          <c:y val="0.10139079515287233"/>
          <c:w val="0.55751737090177955"/>
          <c:h val="0.73016733821674951"/>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324-46C2-A878-2531FE07842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324-46C2-A878-2531FE07842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324-46C2-A878-2531FE07842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324-46C2-A878-2531FE07842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324-46C2-A878-2531FE07842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324-46C2-A878-2531FE07842F}"/>
              </c:ext>
            </c:extLst>
          </c:dPt>
          <c:val>
            <c:numRef>
              <c:f>Calculations!$M$36:$M$41</c:f>
              <c:numCache>
                <c:formatCode>General</c:formatCode>
                <c:ptCount val="6"/>
              </c:numCache>
            </c:numRef>
          </c:val>
          <c:extLst>
            <c:ext xmlns:c15="http://schemas.microsoft.com/office/drawing/2012/chart" uri="{02D57815-91ED-43cb-92C2-25804820EDAC}">
              <c15:filteredCategoryTitle>
                <c15:cat>
                  <c:multiLvlStrRef>
                    <c:extLst>
                      <c:ext uri="{02D57815-91ED-43cb-92C2-25804820EDAC}">
                        <c15:formulaRef>
                          <c15:sqref>Calculations!$L$36:$L$41</c15:sqref>
                        </c15:formulaRef>
                      </c:ext>
                    </c:extLst>
                  </c:multiLvlStrRef>
                </c15:cat>
              </c15:filteredCategoryTitle>
            </c:ext>
            <c:ext xmlns:c16="http://schemas.microsoft.com/office/drawing/2014/chart" uri="{C3380CC4-5D6E-409C-BE32-E72D297353CC}">
              <c16:uniqueId val="{0000000C-B324-46C2-A878-2531FE07842F}"/>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E-B324-46C2-A878-2531FE07842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0-B324-46C2-A878-2531FE07842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2-B324-46C2-A878-2531FE07842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4-B324-46C2-A878-2531FE07842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6-B324-46C2-A878-2531FE07842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8-B324-46C2-A878-2531FE07842F}"/>
              </c:ext>
            </c:extLst>
          </c:dPt>
          <c:val>
            <c:numRef>
              <c:f>Calculations!$N$36:$N$41</c:f>
              <c:numCache>
                <c:formatCode>General</c:formatCode>
                <c:ptCount val="6"/>
              </c:numCache>
            </c:numRef>
          </c:val>
          <c:extLst>
            <c:ext xmlns:c15="http://schemas.microsoft.com/office/drawing/2012/chart" uri="{02D57815-91ED-43cb-92C2-25804820EDAC}">
              <c15:filteredCategoryTitle>
                <c15:cat>
                  <c:multiLvlStrRef>
                    <c:extLst>
                      <c:ext uri="{02D57815-91ED-43cb-92C2-25804820EDAC}">
                        <c15:formulaRef>
                          <c15:sqref>Calculations!$L$36:$L$41</c15:sqref>
                        </c15:formulaRef>
                      </c:ext>
                    </c:extLst>
                  </c:multiLvlStrRef>
                </c15:cat>
              </c15:filteredCategoryTitle>
            </c:ext>
            <c:ext xmlns:c16="http://schemas.microsoft.com/office/drawing/2014/chart" uri="{C3380CC4-5D6E-409C-BE32-E72D297353CC}">
              <c16:uniqueId val="{00000019-B324-46C2-A878-2531FE07842F}"/>
            </c:ext>
          </c:extLst>
        </c:ser>
        <c:ser>
          <c:idx val="2"/>
          <c:order val="2"/>
          <c:dPt>
            <c:idx val="0"/>
            <c:bubble3D val="0"/>
            <c:spPr>
              <a:solidFill>
                <a:schemeClr val="accent1"/>
              </a:solidFill>
              <a:ln w="19050">
                <a:solidFill>
                  <a:schemeClr val="lt1"/>
                </a:solidFill>
              </a:ln>
              <a:effectLst/>
            </c:spPr>
            <c:extLst>
              <c:ext xmlns:c16="http://schemas.microsoft.com/office/drawing/2014/chart" uri="{C3380CC4-5D6E-409C-BE32-E72D297353CC}">
                <c16:uniqueId val="{0000001B-B324-46C2-A878-2531FE07842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D-B324-46C2-A878-2531FE07842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F-B324-46C2-A878-2531FE07842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1-B324-46C2-A878-2531FE07842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3-B324-46C2-A878-2531FE07842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5-B324-46C2-A878-2531FE07842F}"/>
              </c:ext>
            </c:extLst>
          </c:dPt>
          <c:val>
            <c:numRef>
              <c:f>Calculations!$O$36:$O$41</c:f>
              <c:numCache>
                <c:formatCode>General</c:formatCode>
                <c:ptCount val="6"/>
              </c:numCache>
            </c:numRef>
          </c:val>
          <c:extLst>
            <c:ext xmlns:c15="http://schemas.microsoft.com/office/drawing/2012/chart" uri="{02D57815-91ED-43cb-92C2-25804820EDAC}">
              <c15:filteredCategoryTitle>
                <c15:cat>
                  <c:multiLvlStrRef>
                    <c:extLst>
                      <c:ext uri="{02D57815-91ED-43cb-92C2-25804820EDAC}">
                        <c15:formulaRef>
                          <c15:sqref>Calculations!$L$36:$L$41</c15:sqref>
                        </c15:formulaRef>
                      </c:ext>
                    </c:extLst>
                  </c:multiLvlStrRef>
                </c15:cat>
              </c15:filteredCategoryTitle>
            </c:ext>
            <c:ext xmlns:c16="http://schemas.microsoft.com/office/drawing/2014/chart" uri="{C3380CC4-5D6E-409C-BE32-E72D297353CC}">
              <c16:uniqueId val="{00000026-B324-46C2-A878-2531FE07842F}"/>
            </c:ext>
          </c:extLst>
        </c:ser>
        <c:ser>
          <c:idx val="3"/>
          <c:order val="3"/>
          <c:dPt>
            <c:idx val="0"/>
            <c:bubble3D val="0"/>
            <c:spPr>
              <a:solidFill>
                <a:srgbClr val="C00000"/>
              </a:solidFill>
              <a:ln w="19050">
                <a:solidFill>
                  <a:schemeClr val="lt1"/>
                </a:solidFill>
              </a:ln>
              <a:effectLst/>
            </c:spPr>
            <c:extLst>
              <c:ext xmlns:c16="http://schemas.microsoft.com/office/drawing/2014/chart" uri="{C3380CC4-5D6E-409C-BE32-E72D297353CC}">
                <c16:uniqueId val="{00000028-B324-46C2-A878-2531FE07842F}"/>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2A-B324-46C2-A878-2531FE07842F}"/>
              </c:ext>
            </c:extLst>
          </c:dPt>
          <c:dPt>
            <c:idx val="2"/>
            <c:bubble3D val="0"/>
            <c:spPr>
              <a:solidFill>
                <a:srgbClr val="F86256"/>
              </a:solidFill>
              <a:ln w="19050">
                <a:solidFill>
                  <a:schemeClr val="lt1"/>
                </a:solidFill>
              </a:ln>
              <a:effectLst/>
            </c:spPr>
            <c:extLst>
              <c:ext xmlns:c16="http://schemas.microsoft.com/office/drawing/2014/chart" uri="{C3380CC4-5D6E-409C-BE32-E72D297353CC}">
                <c16:uniqueId val="{0000002C-B324-46C2-A878-2531FE07842F}"/>
              </c:ext>
            </c:extLst>
          </c:dPt>
          <c:dPt>
            <c:idx val="3"/>
            <c:bubble3D val="0"/>
            <c:spPr>
              <a:solidFill>
                <a:srgbClr val="FB9A93"/>
              </a:solidFill>
              <a:ln w="19050">
                <a:solidFill>
                  <a:schemeClr val="lt1"/>
                </a:solidFill>
              </a:ln>
              <a:effectLst/>
            </c:spPr>
            <c:extLst>
              <c:ext xmlns:c16="http://schemas.microsoft.com/office/drawing/2014/chart" uri="{C3380CC4-5D6E-409C-BE32-E72D297353CC}">
                <c16:uniqueId val="{0000002E-B324-46C2-A878-2531FE07842F}"/>
              </c:ext>
            </c:extLst>
          </c:dPt>
          <c:dPt>
            <c:idx val="4"/>
            <c:bubble3D val="0"/>
            <c:spPr>
              <a:solidFill>
                <a:srgbClr val="FFCAB9"/>
              </a:solidFill>
              <a:ln w="19050">
                <a:solidFill>
                  <a:schemeClr val="lt1"/>
                </a:solidFill>
              </a:ln>
              <a:effectLst/>
            </c:spPr>
            <c:extLst>
              <c:ext xmlns:c16="http://schemas.microsoft.com/office/drawing/2014/chart" uri="{C3380CC4-5D6E-409C-BE32-E72D297353CC}">
                <c16:uniqueId val="{00000030-B324-46C2-A878-2531FE07842F}"/>
              </c:ext>
            </c:extLst>
          </c:dPt>
          <c:dPt>
            <c:idx val="5"/>
            <c:bubble3D val="0"/>
            <c:spPr>
              <a:solidFill>
                <a:srgbClr val="FFE3E1"/>
              </a:solidFill>
              <a:ln w="19050">
                <a:solidFill>
                  <a:schemeClr val="lt1"/>
                </a:solidFill>
              </a:ln>
              <a:effectLst/>
            </c:spPr>
            <c:extLst>
              <c:ext xmlns:c16="http://schemas.microsoft.com/office/drawing/2014/chart" uri="{C3380CC4-5D6E-409C-BE32-E72D297353CC}">
                <c16:uniqueId val="{00000032-B324-46C2-A878-2531FE07842F}"/>
              </c:ext>
            </c:extLst>
          </c:dPt>
          <c:val>
            <c:numRef>
              <c:f>Calculations!$P$36:$P$41</c:f>
              <c:numCache>
                <c:formatCode>_-* #,##0_-;\-* #,##0_-;_-* "-"??_-;_-@_-</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Calculations!$L$36:$L$41</c15:sqref>
                        </c15:formulaRef>
                      </c:ext>
                    </c:extLst>
                  </c:multiLvlStrRef>
                </c15:cat>
              </c15:filteredCategoryTitle>
            </c:ext>
            <c:ext xmlns:c16="http://schemas.microsoft.com/office/drawing/2014/chart" uri="{C3380CC4-5D6E-409C-BE32-E72D297353CC}">
              <c16:uniqueId val="{00000033-B324-46C2-A878-2531FE07842F}"/>
            </c:ext>
          </c:extLst>
        </c:ser>
        <c:dLbls>
          <c:showLegendKey val="0"/>
          <c:showVal val="0"/>
          <c:showCatName val="0"/>
          <c:showSerName val="0"/>
          <c:showPercent val="0"/>
          <c:showBubbleSize val="0"/>
          <c:showLeaderLines val="1"/>
        </c:dLbls>
        <c:firstSliceAng val="0"/>
        <c:holeSize val="0"/>
      </c:doughnutChart>
      <c:spPr>
        <a:noFill/>
        <a:ln>
          <a:noFill/>
        </a:ln>
        <a:effectLst>
          <a:outerShdw blurRad="50800" dist="50800" dir="5400000" sx="1000" sy="1000" algn="ctr" rotWithShape="0">
            <a:srgbClr val="000000">
              <a:alpha val="43137"/>
            </a:srgbClr>
          </a:outerShdw>
          <a:softEdge rad="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glow>
        <a:schemeClr val="accent1">
          <a:alpha val="40000"/>
        </a:schemeClr>
      </a:glow>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1350937858407"/>
          <c:y val="0.10139079515287233"/>
          <c:w val="0.55751737090177955"/>
          <c:h val="0.73016733821674951"/>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9BC-4291-B98A-B2460487FB2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BC-4291-B98A-B2460487FB2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9BC-4291-B98A-B2460487FB2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9BC-4291-B98A-B2460487FB2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9BC-4291-B98A-B2460487FB2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9BC-4291-B98A-B2460487FB26}"/>
              </c:ext>
            </c:extLst>
          </c:dPt>
          <c:val>
            <c:numRef>
              <c:f>Calculations!$M$36:$M$41</c:f>
              <c:numCache>
                <c:formatCode>General</c:formatCode>
                <c:ptCount val="6"/>
              </c:numCache>
            </c:numRef>
          </c:val>
          <c:extLst>
            <c:ext xmlns:c15="http://schemas.microsoft.com/office/drawing/2012/chart" uri="{02D57815-91ED-43cb-92C2-25804820EDAC}">
              <c15:filteredCategoryTitle>
                <c15:cat>
                  <c:multiLvlStrRef>
                    <c:extLst>
                      <c:ext uri="{02D57815-91ED-43cb-92C2-25804820EDAC}">
                        <c15:formulaRef>
                          <c15:sqref>Calculations!$L$36:$L$41</c15:sqref>
                        </c15:formulaRef>
                      </c:ext>
                    </c:extLst>
                  </c:multiLvlStrRef>
                </c15:cat>
              </c15:filteredCategoryTitle>
            </c:ext>
            <c:ext xmlns:c16="http://schemas.microsoft.com/office/drawing/2014/chart" uri="{C3380CC4-5D6E-409C-BE32-E72D297353CC}">
              <c16:uniqueId val="{0000000C-F9BC-4291-B98A-B2460487FB26}"/>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E-F9BC-4291-B98A-B2460487FB2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0-F9BC-4291-B98A-B2460487FB2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2-F9BC-4291-B98A-B2460487FB2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4-F9BC-4291-B98A-B2460487FB2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6-F9BC-4291-B98A-B2460487FB2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8-F9BC-4291-B98A-B2460487FB26}"/>
              </c:ext>
            </c:extLst>
          </c:dPt>
          <c:val>
            <c:numRef>
              <c:f>Calculations!$N$36:$N$41</c:f>
              <c:numCache>
                <c:formatCode>General</c:formatCode>
                <c:ptCount val="6"/>
              </c:numCache>
            </c:numRef>
          </c:val>
          <c:extLst>
            <c:ext xmlns:c15="http://schemas.microsoft.com/office/drawing/2012/chart" uri="{02D57815-91ED-43cb-92C2-25804820EDAC}">
              <c15:filteredCategoryTitle>
                <c15:cat>
                  <c:multiLvlStrRef>
                    <c:extLst>
                      <c:ext uri="{02D57815-91ED-43cb-92C2-25804820EDAC}">
                        <c15:formulaRef>
                          <c15:sqref>Calculations!$L$36:$L$41</c15:sqref>
                        </c15:formulaRef>
                      </c:ext>
                    </c:extLst>
                  </c:multiLvlStrRef>
                </c15:cat>
              </c15:filteredCategoryTitle>
            </c:ext>
            <c:ext xmlns:c16="http://schemas.microsoft.com/office/drawing/2014/chart" uri="{C3380CC4-5D6E-409C-BE32-E72D297353CC}">
              <c16:uniqueId val="{00000019-F9BC-4291-B98A-B2460487FB26}"/>
            </c:ext>
          </c:extLst>
        </c:ser>
        <c:ser>
          <c:idx val="2"/>
          <c:order val="2"/>
          <c:dPt>
            <c:idx val="0"/>
            <c:bubble3D val="0"/>
            <c:spPr>
              <a:solidFill>
                <a:schemeClr val="accent1"/>
              </a:solidFill>
              <a:ln w="19050">
                <a:solidFill>
                  <a:schemeClr val="lt1"/>
                </a:solidFill>
              </a:ln>
              <a:effectLst/>
            </c:spPr>
            <c:extLst>
              <c:ext xmlns:c16="http://schemas.microsoft.com/office/drawing/2014/chart" uri="{C3380CC4-5D6E-409C-BE32-E72D297353CC}">
                <c16:uniqueId val="{0000001B-F9BC-4291-B98A-B2460487FB2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D-F9BC-4291-B98A-B2460487FB2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F-F9BC-4291-B98A-B2460487FB2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1-F9BC-4291-B98A-B2460487FB2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3-F9BC-4291-B98A-B2460487FB2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5-F9BC-4291-B98A-B2460487FB26}"/>
              </c:ext>
            </c:extLst>
          </c:dPt>
          <c:val>
            <c:numRef>
              <c:f>Calculations!$O$36:$O$41</c:f>
              <c:numCache>
                <c:formatCode>General</c:formatCode>
                <c:ptCount val="6"/>
              </c:numCache>
            </c:numRef>
          </c:val>
          <c:extLst>
            <c:ext xmlns:c15="http://schemas.microsoft.com/office/drawing/2012/chart" uri="{02D57815-91ED-43cb-92C2-25804820EDAC}">
              <c15:filteredCategoryTitle>
                <c15:cat>
                  <c:multiLvlStrRef>
                    <c:extLst>
                      <c:ext uri="{02D57815-91ED-43cb-92C2-25804820EDAC}">
                        <c15:formulaRef>
                          <c15:sqref>Calculations!$L$36:$L$41</c15:sqref>
                        </c15:formulaRef>
                      </c:ext>
                    </c:extLst>
                  </c:multiLvlStrRef>
                </c15:cat>
              </c15:filteredCategoryTitle>
            </c:ext>
            <c:ext xmlns:c16="http://schemas.microsoft.com/office/drawing/2014/chart" uri="{C3380CC4-5D6E-409C-BE32-E72D297353CC}">
              <c16:uniqueId val="{00000026-F9BC-4291-B98A-B2460487FB26}"/>
            </c:ext>
          </c:extLst>
        </c:ser>
        <c:ser>
          <c:idx val="3"/>
          <c:order val="3"/>
          <c:dPt>
            <c:idx val="0"/>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28-F9BC-4291-B98A-B2460487FB26}"/>
              </c:ext>
            </c:extLst>
          </c:dPt>
          <c:dPt>
            <c:idx val="1"/>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2A-F9BC-4291-B98A-B2460487FB26}"/>
              </c:ext>
            </c:extLst>
          </c:dPt>
          <c:dPt>
            <c:idx val="2"/>
            <c:bubble3D val="0"/>
            <c:spPr>
              <a:solidFill>
                <a:schemeClr val="tx2">
                  <a:lumMod val="25000"/>
                  <a:lumOff val="75000"/>
                </a:schemeClr>
              </a:solidFill>
              <a:ln w="19050">
                <a:solidFill>
                  <a:schemeClr val="lt1"/>
                </a:solidFill>
              </a:ln>
              <a:effectLst/>
            </c:spPr>
            <c:extLst>
              <c:ext xmlns:c16="http://schemas.microsoft.com/office/drawing/2014/chart" uri="{C3380CC4-5D6E-409C-BE32-E72D297353CC}">
                <c16:uniqueId val="{0000002C-F9BC-4291-B98A-B2460487FB26}"/>
              </c:ext>
            </c:extLst>
          </c:dPt>
          <c:dPt>
            <c:idx val="3"/>
            <c:bubble3D val="0"/>
            <c:spPr>
              <a:solidFill>
                <a:schemeClr val="tx2">
                  <a:lumMod val="10000"/>
                  <a:lumOff val="90000"/>
                </a:schemeClr>
              </a:solidFill>
              <a:ln w="19050">
                <a:solidFill>
                  <a:schemeClr val="lt1"/>
                </a:solidFill>
              </a:ln>
              <a:effectLst/>
            </c:spPr>
            <c:extLst>
              <c:ext xmlns:c16="http://schemas.microsoft.com/office/drawing/2014/chart" uri="{C3380CC4-5D6E-409C-BE32-E72D297353CC}">
                <c16:uniqueId val="{0000002E-F9BC-4291-B98A-B2460487FB26}"/>
              </c:ext>
            </c:extLst>
          </c:dPt>
          <c:dPt>
            <c:idx val="4"/>
            <c:bubble3D val="0"/>
            <c:spPr>
              <a:solidFill>
                <a:srgbClr val="FBFBFF"/>
              </a:solidFill>
              <a:ln w="19050">
                <a:solidFill>
                  <a:schemeClr val="lt1"/>
                </a:solidFill>
              </a:ln>
              <a:effectLst/>
            </c:spPr>
            <c:extLst>
              <c:ext xmlns:c16="http://schemas.microsoft.com/office/drawing/2014/chart" uri="{C3380CC4-5D6E-409C-BE32-E72D297353CC}">
                <c16:uniqueId val="{00000030-F9BC-4291-B98A-B2460487FB26}"/>
              </c:ext>
            </c:extLst>
          </c:dPt>
          <c:dPt>
            <c:idx val="5"/>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32-F9BC-4291-B98A-B2460487FB26}"/>
              </c:ext>
            </c:extLst>
          </c:dPt>
          <c:val>
            <c:numRef>
              <c:f>Calculations!$P$36:$P$41</c:f>
              <c:numCache>
                <c:formatCode>_-* #,##0_-;\-* #,##0_-;_-* "-"??_-;_-@_-</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Calculations!$L$36:$L$41</c15:sqref>
                        </c15:formulaRef>
                      </c:ext>
                    </c:extLst>
                  </c:multiLvlStrRef>
                </c15:cat>
              </c15:filteredCategoryTitle>
            </c:ext>
            <c:ext xmlns:c16="http://schemas.microsoft.com/office/drawing/2014/chart" uri="{C3380CC4-5D6E-409C-BE32-E72D297353CC}">
              <c16:uniqueId val="{00000033-F9BC-4291-B98A-B2460487FB26}"/>
            </c:ext>
          </c:extLst>
        </c:ser>
        <c:dLbls>
          <c:showLegendKey val="0"/>
          <c:showVal val="0"/>
          <c:showCatName val="0"/>
          <c:showSerName val="0"/>
          <c:showPercent val="0"/>
          <c:showBubbleSize val="0"/>
          <c:showLeaderLines val="1"/>
        </c:dLbls>
        <c:firstSliceAng val="0"/>
        <c:holeSize val="0"/>
      </c:doughnutChart>
      <c:spPr>
        <a:noFill/>
        <a:ln>
          <a:noFill/>
        </a:ln>
        <a:effectLst>
          <a:outerShdw blurRad="50800" dist="50800" dir="5400000" sx="1000" sy="1000" algn="ctr" rotWithShape="0">
            <a:srgbClr val="000000">
              <a:alpha val="43137"/>
            </a:srgbClr>
          </a:outerShdw>
          <a:softEdge rad="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glow>
        <a:schemeClr val="accent1">
          <a:alpha val="40000"/>
        </a:schemeClr>
      </a:glow>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807928740716853"/>
          <c:y val="4.5284475308289454E-2"/>
          <c:w val="0.8515453867843118"/>
          <c:h val="0.8440236458053606"/>
        </c:manualLayout>
      </c:layout>
      <c:barChart>
        <c:barDir val="col"/>
        <c:grouping val="stacked"/>
        <c:varyColors val="0"/>
        <c:ser>
          <c:idx val="0"/>
          <c:order val="0"/>
          <c:spPr>
            <a:solidFill>
              <a:schemeClr val="accent3">
                <a:lumMod val="60000"/>
                <a:lumOff val="40000"/>
              </a:schemeClr>
            </a:solidFill>
            <a:ln>
              <a:noFill/>
            </a:ln>
            <a:effectLst/>
          </c:spPr>
          <c:invertIfNegative val="0"/>
          <c:dPt>
            <c:idx val="1"/>
            <c:invertIfNegative val="0"/>
            <c:bubble3D val="0"/>
            <c:spPr>
              <a:solidFill>
                <a:srgbClr val="FF0000"/>
              </a:solidFill>
              <a:ln>
                <a:noFill/>
              </a:ln>
              <a:effectLst/>
            </c:spPr>
            <c:extLst>
              <c:ext xmlns:c16="http://schemas.microsoft.com/office/drawing/2014/chart" uri="{C3380CC4-5D6E-409C-BE32-E72D297353CC}">
                <c16:uniqueId val="{00000001-B278-45E2-AB4A-2159E8E7249A}"/>
              </c:ext>
            </c:extLst>
          </c:dPt>
          <c:dPt>
            <c:idx val="2"/>
            <c:invertIfNegative val="0"/>
            <c:bubble3D val="0"/>
            <c:spPr>
              <a:solidFill>
                <a:srgbClr val="00B0F0"/>
              </a:solidFill>
              <a:ln>
                <a:noFill/>
              </a:ln>
              <a:effectLst/>
            </c:spPr>
            <c:extLst>
              <c:ext xmlns:c16="http://schemas.microsoft.com/office/drawing/2014/chart" uri="{C3380CC4-5D6E-409C-BE32-E72D297353CC}">
                <c16:uniqueId val="{00000003-B278-45E2-AB4A-2159E8E7249A}"/>
              </c:ext>
            </c:extLst>
          </c:dPt>
          <c:dPt>
            <c:idx val="5"/>
            <c:invertIfNegative val="0"/>
            <c:bubble3D val="0"/>
            <c:spPr>
              <a:solidFill>
                <a:srgbClr val="FF0000"/>
              </a:solidFill>
              <a:ln>
                <a:noFill/>
              </a:ln>
              <a:effectLst/>
            </c:spPr>
            <c:extLst>
              <c:ext xmlns:c16="http://schemas.microsoft.com/office/drawing/2014/chart" uri="{C3380CC4-5D6E-409C-BE32-E72D297353CC}">
                <c16:uniqueId val="{00000005-B278-45E2-AB4A-2159E8E7249A}"/>
              </c:ext>
            </c:extLst>
          </c:dPt>
          <c:dPt>
            <c:idx val="6"/>
            <c:invertIfNegative val="0"/>
            <c:bubble3D val="0"/>
            <c:spPr>
              <a:solidFill>
                <a:srgbClr val="00B0F0"/>
              </a:solidFill>
              <a:ln>
                <a:noFill/>
              </a:ln>
              <a:effectLst/>
            </c:spPr>
            <c:extLst>
              <c:ext xmlns:c16="http://schemas.microsoft.com/office/drawing/2014/chart" uri="{C3380CC4-5D6E-409C-BE32-E72D297353CC}">
                <c16:uniqueId val="{00000007-B278-45E2-AB4A-2159E8E7249A}"/>
              </c:ext>
            </c:extLst>
          </c:dPt>
          <c:dPt>
            <c:idx val="9"/>
            <c:invertIfNegative val="0"/>
            <c:bubble3D val="0"/>
            <c:spPr>
              <a:solidFill>
                <a:srgbClr val="FF0000"/>
              </a:solidFill>
              <a:ln>
                <a:noFill/>
              </a:ln>
              <a:effectLst/>
            </c:spPr>
            <c:extLst>
              <c:ext xmlns:c16="http://schemas.microsoft.com/office/drawing/2014/chart" uri="{C3380CC4-5D6E-409C-BE32-E72D297353CC}">
                <c16:uniqueId val="{00000009-B278-45E2-AB4A-2159E8E7249A}"/>
              </c:ext>
            </c:extLst>
          </c:dPt>
          <c:dPt>
            <c:idx val="10"/>
            <c:invertIfNegative val="0"/>
            <c:bubble3D val="0"/>
            <c:spPr>
              <a:solidFill>
                <a:srgbClr val="00B0F0"/>
              </a:solidFill>
              <a:ln>
                <a:noFill/>
              </a:ln>
              <a:effectLst/>
            </c:spPr>
            <c:extLst>
              <c:ext xmlns:c16="http://schemas.microsoft.com/office/drawing/2014/chart" uri="{C3380CC4-5D6E-409C-BE32-E72D297353CC}">
                <c16:uniqueId val="{0000000B-B278-45E2-AB4A-2159E8E7249A}"/>
              </c:ext>
            </c:extLst>
          </c:dPt>
          <c:dPt>
            <c:idx val="13"/>
            <c:invertIfNegative val="0"/>
            <c:bubble3D val="0"/>
            <c:spPr>
              <a:solidFill>
                <a:srgbClr val="FF0000"/>
              </a:solidFill>
              <a:ln>
                <a:noFill/>
              </a:ln>
              <a:effectLst/>
            </c:spPr>
            <c:extLst>
              <c:ext xmlns:c16="http://schemas.microsoft.com/office/drawing/2014/chart" uri="{C3380CC4-5D6E-409C-BE32-E72D297353CC}">
                <c16:uniqueId val="{0000000D-B278-45E2-AB4A-2159E8E7249A}"/>
              </c:ext>
            </c:extLst>
          </c:dPt>
          <c:dPt>
            <c:idx val="14"/>
            <c:invertIfNegative val="0"/>
            <c:bubble3D val="0"/>
            <c:spPr>
              <a:solidFill>
                <a:srgbClr val="00B0F0"/>
              </a:solidFill>
              <a:ln>
                <a:noFill/>
              </a:ln>
              <a:effectLst/>
            </c:spPr>
            <c:extLst>
              <c:ext xmlns:c16="http://schemas.microsoft.com/office/drawing/2014/chart" uri="{C3380CC4-5D6E-409C-BE32-E72D297353CC}">
                <c16:uniqueId val="{0000000F-B278-45E2-AB4A-2159E8E7249A}"/>
              </c:ext>
            </c:extLst>
          </c:dPt>
          <c:dPt>
            <c:idx val="17"/>
            <c:invertIfNegative val="0"/>
            <c:bubble3D val="0"/>
            <c:spPr>
              <a:solidFill>
                <a:srgbClr val="FF0000"/>
              </a:solidFill>
              <a:ln>
                <a:noFill/>
              </a:ln>
              <a:effectLst/>
            </c:spPr>
            <c:extLst>
              <c:ext xmlns:c16="http://schemas.microsoft.com/office/drawing/2014/chart" uri="{C3380CC4-5D6E-409C-BE32-E72D297353CC}">
                <c16:uniqueId val="{00000011-B278-45E2-AB4A-2159E8E7249A}"/>
              </c:ext>
            </c:extLst>
          </c:dPt>
          <c:dPt>
            <c:idx val="18"/>
            <c:invertIfNegative val="0"/>
            <c:bubble3D val="0"/>
            <c:spPr>
              <a:solidFill>
                <a:srgbClr val="00B0F0"/>
              </a:solidFill>
              <a:ln>
                <a:noFill/>
              </a:ln>
              <a:effectLst/>
            </c:spPr>
            <c:extLst>
              <c:ext xmlns:c16="http://schemas.microsoft.com/office/drawing/2014/chart" uri="{C3380CC4-5D6E-409C-BE32-E72D297353CC}">
                <c16:uniqueId val="{00000013-B278-45E2-AB4A-2159E8E7249A}"/>
              </c:ext>
            </c:extLst>
          </c:dPt>
          <c:dPt>
            <c:idx val="21"/>
            <c:invertIfNegative val="0"/>
            <c:bubble3D val="0"/>
            <c:spPr>
              <a:solidFill>
                <a:srgbClr val="FF0000"/>
              </a:solidFill>
              <a:ln>
                <a:noFill/>
              </a:ln>
              <a:effectLst/>
            </c:spPr>
            <c:extLst>
              <c:ext xmlns:c16="http://schemas.microsoft.com/office/drawing/2014/chart" uri="{C3380CC4-5D6E-409C-BE32-E72D297353CC}">
                <c16:uniqueId val="{00000015-B278-45E2-AB4A-2159E8E7249A}"/>
              </c:ext>
            </c:extLst>
          </c:dPt>
          <c:dPt>
            <c:idx val="22"/>
            <c:invertIfNegative val="0"/>
            <c:bubble3D val="0"/>
            <c:spPr>
              <a:solidFill>
                <a:srgbClr val="00B0F0"/>
              </a:solidFill>
              <a:ln>
                <a:noFill/>
              </a:ln>
              <a:effectLst/>
            </c:spPr>
            <c:extLst>
              <c:ext xmlns:c16="http://schemas.microsoft.com/office/drawing/2014/chart" uri="{C3380CC4-5D6E-409C-BE32-E72D297353CC}">
                <c16:uniqueId val="{00000017-B278-45E2-AB4A-2159E8E7249A}"/>
              </c:ext>
            </c:extLst>
          </c:dPt>
          <c:dPt>
            <c:idx val="25"/>
            <c:invertIfNegative val="0"/>
            <c:bubble3D val="0"/>
            <c:spPr>
              <a:solidFill>
                <a:srgbClr val="FF0000"/>
              </a:solidFill>
              <a:ln>
                <a:noFill/>
              </a:ln>
              <a:effectLst/>
            </c:spPr>
            <c:extLst>
              <c:ext xmlns:c16="http://schemas.microsoft.com/office/drawing/2014/chart" uri="{C3380CC4-5D6E-409C-BE32-E72D297353CC}">
                <c16:uniqueId val="{00000019-B278-45E2-AB4A-2159E8E7249A}"/>
              </c:ext>
            </c:extLst>
          </c:dPt>
          <c:dPt>
            <c:idx val="26"/>
            <c:invertIfNegative val="0"/>
            <c:bubble3D val="0"/>
            <c:spPr>
              <a:solidFill>
                <a:srgbClr val="00B0F0"/>
              </a:solidFill>
              <a:ln>
                <a:noFill/>
              </a:ln>
              <a:effectLst/>
            </c:spPr>
            <c:extLst>
              <c:ext xmlns:c16="http://schemas.microsoft.com/office/drawing/2014/chart" uri="{C3380CC4-5D6E-409C-BE32-E72D297353CC}">
                <c16:uniqueId val="{0000001B-B278-45E2-AB4A-2159E8E7249A}"/>
              </c:ext>
            </c:extLst>
          </c:dPt>
          <c:dPt>
            <c:idx val="29"/>
            <c:invertIfNegative val="0"/>
            <c:bubble3D val="0"/>
            <c:spPr>
              <a:solidFill>
                <a:srgbClr val="FF0000"/>
              </a:solidFill>
              <a:ln>
                <a:noFill/>
              </a:ln>
              <a:effectLst/>
            </c:spPr>
            <c:extLst>
              <c:ext xmlns:c16="http://schemas.microsoft.com/office/drawing/2014/chart" uri="{C3380CC4-5D6E-409C-BE32-E72D297353CC}">
                <c16:uniqueId val="{0000001D-B278-45E2-AB4A-2159E8E7249A}"/>
              </c:ext>
            </c:extLst>
          </c:dPt>
          <c:dPt>
            <c:idx val="30"/>
            <c:invertIfNegative val="0"/>
            <c:bubble3D val="0"/>
            <c:spPr>
              <a:solidFill>
                <a:srgbClr val="00B0F0"/>
              </a:solidFill>
              <a:ln>
                <a:noFill/>
              </a:ln>
              <a:effectLst/>
            </c:spPr>
            <c:extLst>
              <c:ext xmlns:c16="http://schemas.microsoft.com/office/drawing/2014/chart" uri="{C3380CC4-5D6E-409C-BE32-E72D297353CC}">
                <c16:uniqueId val="{0000001F-B278-45E2-AB4A-2159E8E7249A}"/>
              </c:ext>
            </c:extLst>
          </c:dPt>
          <c:dPt>
            <c:idx val="33"/>
            <c:invertIfNegative val="0"/>
            <c:bubble3D val="0"/>
            <c:spPr>
              <a:solidFill>
                <a:srgbClr val="FF0000"/>
              </a:solidFill>
              <a:ln>
                <a:noFill/>
              </a:ln>
              <a:effectLst/>
            </c:spPr>
            <c:extLst>
              <c:ext xmlns:c16="http://schemas.microsoft.com/office/drawing/2014/chart" uri="{C3380CC4-5D6E-409C-BE32-E72D297353CC}">
                <c16:uniqueId val="{00000021-B278-45E2-AB4A-2159E8E7249A}"/>
              </c:ext>
            </c:extLst>
          </c:dPt>
          <c:dPt>
            <c:idx val="34"/>
            <c:invertIfNegative val="0"/>
            <c:bubble3D val="0"/>
            <c:spPr>
              <a:solidFill>
                <a:srgbClr val="00B0F0"/>
              </a:solidFill>
              <a:ln>
                <a:noFill/>
              </a:ln>
              <a:effectLst/>
            </c:spPr>
            <c:extLst>
              <c:ext xmlns:c16="http://schemas.microsoft.com/office/drawing/2014/chart" uri="{C3380CC4-5D6E-409C-BE32-E72D297353CC}">
                <c16:uniqueId val="{00000023-B278-45E2-AB4A-2159E8E7249A}"/>
              </c:ext>
            </c:extLst>
          </c:dPt>
          <c:dPt>
            <c:idx val="37"/>
            <c:invertIfNegative val="0"/>
            <c:bubble3D val="0"/>
            <c:spPr>
              <a:solidFill>
                <a:srgbClr val="FF0000"/>
              </a:solidFill>
              <a:ln>
                <a:noFill/>
              </a:ln>
              <a:effectLst/>
            </c:spPr>
            <c:extLst>
              <c:ext xmlns:c16="http://schemas.microsoft.com/office/drawing/2014/chart" uri="{C3380CC4-5D6E-409C-BE32-E72D297353CC}">
                <c16:uniqueId val="{00000025-B278-45E2-AB4A-2159E8E7249A}"/>
              </c:ext>
            </c:extLst>
          </c:dPt>
          <c:dPt>
            <c:idx val="38"/>
            <c:invertIfNegative val="0"/>
            <c:bubble3D val="0"/>
            <c:spPr>
              <a:solidFill>
                <a:srgbClr val="00B0F0"/>
              </a:solidFill>
              <a:ln>
                <a:noFill/>
              </a:ln>
              <a:effectLst/>
            </c:spPr>
            <c:extLst>
              <c:ext xmlns:c16="http://schemas.microsoft.com/office/drawing/2014/chart" uri="{C3380CC4-5D6E-409C-BE32-E72D297353CC}">
                <c16:uniqueId val="{00000027-B278-45E2-AB4A-2159E8E7249A}"/>
              </c:ext>
            </c:extLst>
          </c:dPt>
          <c:dPt>
            <c:idx val="41"/>
            <c:invertIfNegative val="0"/>
            <c:bubble3D val="0"/>
            <c:spPr>
              <a:solidFill>
                <a:srgbClr val="FF0000"/>
              </a:solidFill>
              <a:ln>
                <a:noFill/>
              </a:ln>
              <a:effectLst/>
            </c:spPr>
            <c:extLst>
              <c:ext xmlns:c16="http://schemas.microsoft.com/office/drawing/2014/chart" uri="{C3380CC4-5D6E-409C-BE32-E72D297353CC}">
                <c16:uniqueId val="{00000029-B278-45E2-AB4A-2159E8E7249A}"/>
              </c:ext>
            </c:extLst>
          </c:dPt>
          <c:dPt>
            <c:idx val="42"/>
            <c:invertIfNegative val="0"/>
            <c:bubble3D val="0"/>
            <c:spPr>
              <a:solidFill>
                <a:srgbClr val="00B0F0"/>
              </a:solidFill>
              <a:ln>
                <a:noFill/>
              </a:ln>
              <a:effectLst/>
            </c:spPr>
            <c:extLst>
              <c:ext xmlns:c16="http://schemas.microsoft.com/office/drawing/2014/chart" uri="{C3380CC4-5D6E-409C-BE32-E72D297353CC}">
                <c16:uniqueId val="{0000002B-B278-45E2-AB4A-2159E8E7249A}"/>
              </c:ext>
            </c:extLst>
          </c:dPt>
          <c:dPt>
            <c:idx val="45"/>
            <c:invertIfNegative val="0"/>
            <c:bubble3D val="0"/>
            <c:spPr>
              <a:solidFill>
                <a:srgbClr val="FF0000"/>
              </a:solidFill>
              <a:ln>
                <a:noFill/>
              </a:ln>
              <a:effectLst/>
            </c:spPr>
            <c:extLst>
              <c:ext xmlns:c16="http://schemas.microsoft.com/office/drawing/2014/chart" uri="{C3380CC4-5D6E-409C-BE32-E72D297353CC}">
                <c16:uniqueId val="{0000002D-B278-45E2-AB4A-2159E8E7249A}"/>
              </c:ext>
            </c:extLst>
          </c:dPt>
          <c:dPt>
            <c:idx val="46"/>
            <c:invertIfNegative val="0"/>
            <c:bubble3D val="0"/>
            <c:spPr>
              <a:solidFill>
                <a:srgbClr val="00B0F0"/>
              </a:solidFill>
              <a:ln>
                <a:noFill/>
              </a:ln>
              <a:effectLst/>
            </c:spPr>
            <c:extLst>
              <c:ext xmlns:c16="http://schemas.microsoft.com/office/drawing/2014/chart" uri="{C3380CC4-5D6E-409C-BE32-E72D297353CC}">
                <c16:uniqueId val="{0000002F-B278-45E2-AB4A-2159E8E7249A}"/>
              </c:ext>
            </c:extLst>
          </c:dPt>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Calculations!$S$56:$S$103</c:f>
              <c:numCache>
                <c:formatCode>General</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30-B278-45E2-AB4A-2159E8E7249A}"/>
            </c:ext>
          </c:extLst>
        </c:ser>
        <c:ser>
          <c:idx val="1"/>
          <c:order val="1"/>
          <c:spPr>
            <a:solidFill>
              <a:schemeClr val="accent2"/>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Calculations!$T$56:$T$103</c:f>
            </c:numRef>
          </c:val>
          <c:extLst>
            <c:ext xmlns:c16="http://schemas.microsoft.com/office/drawing/2014/chart" uri="{C3380CC4-5D6E-409C-BE32-E72D297353CC}">
              <c16:uniqueId val="{00000031-B278-45E2-AB4A-2159E8E7249A}"/>
            </c:ext>
          </c:extLst>
        </c:ser>
        <c:ser>
          <c:idx val="2"/>
          <c:order val="2"/>
          <c:spPr>
            <a:solidFill>
              <a:schemeClr val="accent3"/>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Calculations!$U$56:$U$103</c:f>
            </c:numRef>
          </c:val>
          <c:extLst>
            <c:ext xmlns:c16="http://schemas.microsoft.com/office/drawing/2014/chart" uri="{C3380CC4-5D6E-409C-BE32-E72D297353CC}">
              <c16:uniqueId val="{00000032-B278-45E2-AB4A-2159E8E7249A}"/>
            </c:ext>
          </c:extLst>
        </c:ser>
        <c:ser>
          <c:idx val="3"/>
          <c:order val="3"/>
          <c:spPr>
            <a:solidFill>
              <a:schemeClr val="accent4"/>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Calculations!$V$56:$V$103</c:f>
            </c:numRef>
          </c:val>
          <c:extLst>
            <c:ext xmlns:c16="http://schemas.microsoft.com/office/drawing/2014/chart" uri="{C3380CC4-5D6E-409C-BE32-E72D297353CC}">
              <c16:uniqueId val="{00000033-B278-45E2-AB4A-2159E8E7249A}"/>
            </c:ext>
          </c:extLst>
        </c:ser>
        <c:ser>
          <c:idx val="4"/>
          <c:order val="4"/>
          <c:spPr>
            <a:solidFill>
              <a:schemeClr val="accent3">
                <a:lumMod val="20000"/>
                <a:lumOff val="80000"/>
              </a:schemeClr>
            </a:solidFill>
            <a:ln>
              <a:noFill/>
            </a:ln>
            <a:effectLst/>
          </c:spPr>
          <c:invertIfNegative val="0"/>
          <c:dPt>
            <c:idx val="1"/>
            <c:invertIfNegative val="0"/>
            <c:bubble3D val="0"/>
            <c:spPr>
              <a:solidFill>
                <a:srgbClr val="FCC3B8"/>
              </a:solidFill>
              <a:ln>
                <a:noFill/>
              </a:ln>
              <a:effectLst/>
            </c:spPr>
            <c:extLst>
              <c:ext xmlns:c16="http://schemas.microsoft.com/office/drawing/2014/chart" uri="{C3380CC4-5D6E-409C-BE32-E72D297353CC}">
                <c16:uniqueId val="{00000035-B278-45E2-AB4A-2159E8E7249A}"/>
              </c:ext>
            </c:extLst>
          </c:dPt>
          <c:dPt>
            <c:idx val="2"/>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37-B278-45E2-AB4A-2159E8E7249A}"/>
              </c:ext>
            </c:extLst>
          </c:dPt>
          <c:dPt>
            <c:idx val="5"/>
            <c:invertIfNegative val="0"/>
            <c:bubble3D val="0"/>
            <c:spPr>
              <a:solidFill>
                <a:srgbClr val="FFCAB9"/>
              </a:solidFill>
              <a:ln>
                <a:noFill/>
              </a:ln>
              <a:effectLst/>
            </c:spPr>
            <c:extLst>
              <c:ext xmlns:c16="http://schemas.microsoft.com/office/drawing/2014/chart" uri="{C3380CC4-5D6E-409C-BE32-E72D297353CC}">
                <c16:uniqueId val="{00000039-B278-45E2-AB4A-2159E8E7249A}"/>
              </c:ext>
            </c:extLst>
          </c:dPt>
          <c:dPt>
            <c:idx val="9"/>
            <c:invertIfNegative val="0"/>
            <c:bubble3D val="0"/>
            <c:spPr>
              <a:solidFill>
                <a:srgbClr val="FFCAB9"/>
              </a:solidFill>
              <a:ln>
                <a:noFill/>
              </a:ln>
              <a:effectLst/>
            </c:spPr>
            <c:extLst>
              <c:ext xmlns:c16="http://schemas.microsoft.com/office/drawing/2014/chart" uri="{C3380CC4-5D6E-409C-BE32-E72D297353CC}">
                <c16:uniqueId val="{0000003B-B278-45E2-AB4A-2159E8E7249A}"/>
              </c:ext>
            </c:extLst>
          </c:dPt>
          <c:dPt>
            <c:idx val="13"/>
            <c:invertIfNegative val="0"/>
            <c:bubble3D val="0"/>
            <c:spPr>
              <a:solidFill>
                <a:srgbClr val="FFCAB9"/>
              </a:solidFill>
              <a:ln>
                <a:noFill/>
              </a:ln>
              <a:effectLst/>
            </c:spPr>
            <c:extLst>
              <c:ext xmlns:c16="http://schemas.microsoft.com/office/drawing/2014/chart" uri="{C3380CC4-5D6E-409C-BE32-E72D297353CC}">
                <c16:uniqueId val="{0000003D-B278-45E2-AB4A-2159E8E7249A}"/>
              </c:ext>
            </c:extLst>
          </c:dPt>
          <c:dPt>
            <c:idx val="17"/>
            <c:invertIfNegative val="0"/>
            <c:bubble3D val="0"/>
            <c:spPr>
              <a:solidFill>
                <a:srgbClr val="FFCAB9"/>
              </a:solidFill>
              <a:ln>
                <a:noFill/>
              </a:ln>
              <a:effectLst/>
            </c:spPr>
            <c:extLst>
              <c:ext xmlns:c16="http://schemas.microsoft.com/office/drawing/2014/chart" uri="{C3380CC4-5D6E-409C-BE32-E72D297353CC}">
                <c16:uniqueId val="{0000003F-B278-45E2-AB4A-2159E8E7249A}"/>
              </c:ext>
            </c:extLst>
          </c:dPt>
          <c:dPt>
            <c:idx val="21"/>
            <c:invertIfNegative val="0"/>
            <c:bubble3D val="0"/>
            <c:spPr>
              <a:solidFill>
                <a:srgbClr val="FFCAB9"/>
              </a:solidFill>
              <a:ln>
                <a:noFill/>
              </a:ln>
              <a:effectLst/>
            </c:spPr>
            <c:extLst>
              <c:ext xmlns:c16="http://schemas.microsoft.com/office/drawing/2014/chart" uri="{C3380CC4-5D6E-409C-BE32-E72D297353CC}">
                <c16:uniqueId val="{00000041-B278-45E2-AB4A-2159E8E7249A}"/>
              </c:ext>
            </c:extLst>
          </c:dPt>
          <c:dPt>
            <c:idx val="25"/>
            <c:invertIfNegative val="0"/>
            <c:bubble3D val="0"/>
            <c:spPr>
              <a:solidFill>
                <a:srgbClr val="FFCAB9"/>
              </a:solidFill>
              <a:ln>
                <a:noFill/>
              </a:ln>
              <a:effectLst/>
            </c:spPr>
            <c:extLst>
              <c:ext xmlns:c16="http://schemas.microsoft.com/office/drawing/2014/chart" uri="{C3380CC4-5D6E-409C-BE32-E72D297353CC}">
                <c16:uniqueId val="{00000043-B278-45E2-AB4A-2159E8E7249A}"/>
              </c:ext>
            </c:extLst>
          </c:dPt>
          <c:dPt>
            <c:idx val="29"/>
            <c:invertIfNegative val="0"/>
            <c:bubble3D val="0"/>
            <c:spPr>
              <a:solidFill>
                <a:srgbClr val="FFCAB9"/>
              </a:solidFill>
              <a:ln>
                <a:noFill/>
              </a:ln>
              <a:effectLst/>
            </c:spPr>
            <c:extLst>
              <c:ext xmlns:c16="http://schemas.microsoft.com/office/drawing/2014/chart" uri="{C3380CC4-5D6E-409C-BE32-E72D297353CC}">
                <c16:uniqueId val="{00000045-B278-45E2-AB4A-2159E8E7249A}"/>
              </c:ext>
            </c:extLst>
          </c:dPt>
          <c:dPt>
            <c:idx val="33"/>
            <c:invertIfNegative val="0"/>
            <c:bubble3D val="0"/>
            <c:spPr>
              <a:solidFill>
                <a:srgbClr val="FFCAB9"/>
              </a:solidFill>
              <a:ln>
                <a:noFill/>
              </a:ln>
              <a:effectLst/>
            </c:spPr>
            <c:extLst>
              <c:ext xmlns:c16="http://schemas.microsoft.com/office/drawing/2014/chart" uri="{C3380CC4-5D6E-409C-BE32-E72D297353CC}">
                <c16:uniqueId val="{00000047-B278-45E2-AB4A-2159E8E7249A}"/>
              </c:ext>
            </c:extLst>
          </c:dPt>
          <c:dPt>
            <c:idx val="37"/>
            <c:invertIfNegative val="0"/>
            <c:bubble3D val="0"/>
            <c:spPr>
              <a:solidFill>
                <a:srgbClr val="FFCAB9"/>
              </a:solidFill>
              <a:ln>
                <a:noFill/>
              </a:ln>
              <a:effectLst/>
            </c:spPr>
            <c:extLst>
              <c:ext xmlns:c16="http://schemas.microsoft.com/office/drawing/2014/chart" uri="{C3380CC4-5D6E-409C-BE32-E72D297353CC}">
                <c16:uniqueId val="{00000049-B278-45E2-AB4A-2159E8E7249A}"/>
              </c:ext>
            </c:extLst>
          </c:dPt>
          <c:dPt>
            <c:idx val="41"/>
            <c:invertIfNegative val="0"/>
            <c:bubble3D val="0"/>
            <c:spPr>
              <a:solidFill>
                <a:srgbClr val="FFCAB9"/>
              </a:solidFill>
              <a:ln>
                <a:noFill/>
              </a:ln>
              <a:effectLst/>
            </c:spPr>
            <c:extLst>
              <c:ext xmlns:c16="http://schemas.microsoft.com/office/drawing/2014/chart" uri="{C3380CC4-5D6E-409C-BE32-E72D297353CC}">
                <c16:uniqueId val="{0000004B-B278-45E2-AB4A-2159E8E7249A}"/>
              </c:ext>
            </c:extLst>
          </c:dPt>
          <c:dPt>
            <c:idx val="45"/>
            <c:invertIfNegative val="0"/>
            <c:bubble3D val="0"/>
            <c:spPr>
              <a:solidFill>
                <a:srgbClr val="FFCAB9"/>
              </a:solidFill>
              <a:ln>
                <a:noFill/>
              </a:ln>
              <a:effectLst/>
            </c:spPr>
            <c:extLst>
              <c:ext xmlns:c16="http://schemas.microsoft.com/office/drawing/2014/chart" uri="{C3380CC4-5D6E-409C-BE32-E72D297353CC}">
                <c16:uniqueId val="{0000004D-B278-45E2-AB4A-2159E8E7249A}"/>
              </c:ext>
            </c:extLst>
          </c:dPt>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Calculations!$W$56:$W$103</c:f>
              <c:numCache>
                <c:formatCode>General</c:formatCode>
                <c:ptCount val="48"/>
                <c:pt idx="0">
                  <c:v>3500</c:v>
                </c:pt>
                <c:pt idx="1">
                  <c:v>1725</c:v>
                </c:pt>
                <c:pt idx="2">
                  <c:v>1500</c:v>
                </c:pt>
                <c:pt idx="4">
                  <c:v>2500</c:v>
                </c:pt>
                <c:pt idx="5">
                  <c:v>1545</c:v>
                </c:pt>
                <c:pt idx="6">
                  <c:v>1500</c:v>
                </c:pt>
                <c:pt idx="8">
                  <c:v>2500</c:v>
                </c:pt>
                <c:pt idx="9">
                  <c:v>1895</c:v>
                </c:pt>
                <c:pt idx="10">
                  <c:v>1500</c:v>
                </c:pt>
                <c:pt idx="12">
                  <c:v>2500</c:v>
                </c:pt>
                <c:pt idx="13">
                  <c:v>1895</c:v>
                </c:pt>
                <c:pt idx="14">
                  <c:v>500</c:v>
                </c:pt>
                <c:pt idx="16">
                  <c:v>2500</c:v>
                </c:pt>
                <c:pt idx="17">
                  <c:v>1895</c:v>
                </c:pt>
                <c:pt idx="18">
                  <c:v>500</c:v>
                </c:pt>
                <c:pt idx="20">
                  <c:v>2500</c:v>
                </c:pt>
                <c:pt idx="21">
                  <c:v>1895</c:v>
                </c:pt>
                <c:pt idx="22">
                  <c:v>600</c:v>
                </c:pt>
                <c:pt idx="24">
                  <c:v>2500</c:v>
                </c:pt>
                <c:pt idx="25">
                  <c:v>1895</c:v>
                </c:pt>
                <c:pt idx="26">
                  <c:v>500</c:v>
                </c:pt>
                <c:pt idx="28">
                  <c:v>2500</c:v>
                </c:pt>
                <c:pt idx="29">
                  <c:v>1895</c:v>
                </c:pt>
                <c:pt idx="30">
                  <c:v>500</c:v>
                </c:pt>
                <c:pt idx="32">
                  <c:v>2500</c:v>
                </c:pt>
                <c:pt idx="33">
                  <c:v>1895</c:v>
                </c:pt>
                <c:pt idx="34">
                  <c:v>500</c:v>
                </c:pt>
                <c:pt idx="36">
                  <c:v>2500</c:v>
                </c:pt>
                <c:pt idx="37">
                  <c:v>1895</c:v>
                </c:pt>
                <c:pt idx="38">
                  <c:v>500</c:v>
                </c:pt>
                <c:pt idx="40">
                  <c:v>2500</c:v>
                </c:pt>
                <c:pt idx="41">
                  <c:v>1895</c:v>
                </c:pt>
                <c:pt idx="42">
                  <c:v>500</c:v>
                </c:pt>
                <c:pt idx="44">
                  <c:v>2500</c:v>
                </c:pt>
                <c:pt idx="45">
                  <c:v>1895</c:v>
                </c:pt>
                <c:pt idx="46">
                  <c:v>500</c:v>
                </c:pt>
              </c:numCache>
            </c:numRef>
          </c:val>
          <c:extLst>
            <c:ext xmlns:c16="http://schemas.microsoft.com/office/drawing/2014/chart" uri="{C3380CC4-5D6E-409C-BE32-E72D297353CC}">
              <c16:uniqueId val="{0000004E-B278-45E2-AB4A-2159E8E7249A}"/>
            </c:ext>
          </c:extLst>
        </c:ser>
        <c:ser>
          <c:idx val="5"/>
          <c:order val="5"/>
          <c:spPr>
            <a:solidFill>
              <a:schemeClr val="accent3">
                <a:lumMod val="75000"/>
              </a:schemeClr>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50-B278-45E2-AB4A-2159E8E7249A}"/>
              </c:ext>
            </c:extLst>
          </c:dPt>
          <c:dPt>
            <c:idx val="1"/>
            <c:invertIfNegative val="0"/>
            <c:bubble3D val="0"/>
            <c:spPr>
              <a:solidFill>
                <a:srgbClr val="C00000"/>
              </a:solidFill>
              <a:ln>
                <a:noFill/>
              </a:ln>
              <a:effectLst/>
            </c:spPr>
            <c:extLst>
              <c:ext xmlns:c16="http://schemas.microsoft.com/office/drawing/2014/chart" uri="{C3380CC4-5D6E-409C-BE32-E72D297353CC}">
                <c16:uniqueId val="{00000052-B278-45E2-AB4A-2159E8E7249A}"/>
              </c:ext>
            </c:extLst>
          </c:dPt>
          <c:dPt>
            <c:idx val="2"/>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54-B278-45E2-AB4A-2159E8E7249A}"/>
              </c:ext>
            </c:extLst>
          </c:dPt>
          <c:dPt>
            <c:idx val="4"/>
            <c:invertIfNegative val="0"/>
            <c:bubble3D val="0"/>
            <c:spPr>
              <a:solidFill>
                <a:srgbClr val="00B050"/>
              </a:solidFill>
              <a:ln>
                <a:noFill/>
              </a:ln>
              <a:effectLst/>
            </c:spPr>
            <c:extLst>
              <c:ext xmlns:c16="http://schemas.microsoft.com/office/drawing/2014/chart" uri="{C3380CC4-5D6E-409C-BE32-E72D297353CC}">
                <c16:uniqueId val="{00000056-B278-45E2-AB4A-2159E8E7249A}"/>
              </c:ext>
            </c:extLst>
          </c:dPt>
          <c:dPt>
            <c:idx val="5"/>
            <c:invertIfNegative val="0"/>
            <c:bubble3D val="0"/>
            <c:spPr>
              <a:solidFill>
                <a:srgbClr val="C00000"/>
              </a:solidFill>
              <a:ln>
                <a:noFill/>
              </a:ln>
              <a:effectLst/>
            </c:spPr>
            <c:extLst>
              <c:ext xmlns:c16="http://schemas.microsoft.com/office/drawing/2014/chart" uri="{C3380CC4-5D6E-409C-BE32-E72D297353CC}">
                <c16:uniqueId val="{00000058-B278-45E2-AB4A-2159E8E7249A}"/>
              </c:ext>
            </c:extLst>
          </c:dPt>
          <c:dPt>
            <c:idx val="6"/>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5A-B278-45E2-AB4A-2159E8E7249A}"/>
              </c:ext>
            </c:extLst>
          </c:dPt>
          <c:dPt>
            <c:idx val="8"/>
            <c:invertIfNegative val="0"/>
            <c:bubble3D val="0"/>
            <c:spPr>
              <a:solidFill>
                <a:srgbClr val="00B050"/>
              </a:solidFill>
              <a:ln>
                <a:noFill/>
              </a:ln>
              <a:effectLst/>
            </c:spPr>
            <c:extLst>
              <c:ext xmlns:c16="http://schemas.microsoft.com/office/drawing/2014/chart" uri="{C3380CC4-5D6E-409C-BE32-E72D297353CC}">
                <c16:uniqueId val="{0000005C-B278-45E2-AB4A-2159E8E7249A}"/>
              </c:ext>
            </c:extLst>
          </c:dPt>
          <c:dPt>
            <c:idx val="9"/>
            <c:invertIfNegative val="0"/>
            <c:bubble3D val="0"/>
            <c:spPr>
              <a:solidFill>
                <a:srgbClr val="C00000"/>
              </a:solidFill>
              <a:ln>
                <a:noFill/>
              </a:ln>
              <a:effectLst/>
            </c:spPr>
            <c:extLst>
              <c:ext xmlns:c16="http://schemas.microsoft.com/office/drawing/2014/chart" uri="{C3380CC4-5D6E-409C-BE32-E72D297353CC}">
                <c16:uniqueId val="{0000005E-B278-45E2-AB4A-2159E8E7249A}"/>
              </c:ext>
            </c:extLst>
          </c:dPt>
          <c:dPt>
            <c:idx val="10"/>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60-B278-45E2-AB4A-2159E8E7249A}"/>
              </c:ext>
            </c:extLst>
          </c:dPt>
          <c:dPt>
            <c:idx val="12"/>
            <c:invertIfNegative val="0"/>
            <c:bubble3D val="0"/>
            <c:spPr>
              <a:solidFill>
                <a:srgbClr val="00B050"/>
              </a:solidFill>
              <a:ln>
                <a:noFill/>
              </a:ln>
              <a:effectLst/>
            </c:spPr>
            <c:extLst>
              <c:ext xmlns:c16="http://schemas.microsoft.com/office/drawing/2014/chart" uri="{C3380CC4-5D6E-409C-BE32-E72D297353CC}">
                <c16:uniqueId val="{00000062-B278-45E2-AB4A-2159E8E7249A}"/>
              </c:ext>
            </c:extLst>
          </c:dPt>
          <c:dPt>
            <c:idx val="13"/>
            <c:invertIfNegative val="0"/>
            <c:bubble3D val="0"/>
            <c:spPr>
              <a:solidFill>
                <a:srgbClr val="C00000"/>
              </a:solidFill>
              <a:ln>
                <a:noFill/>
              </a:ln>
              <a:effectLst/>
            </c:spPr>
            <c:extLst>
              <c:ext xmlns:c16="http://schemas.microsoft.com/office/drawing/2014/chart" uri="{C3380CC4-5D6E-409C-BE32-E72D297353CC}">
                <c16:uniqueId val="{00000064-B278-45E2-AB4A-2159E8E7249A}"/>
              </c:ext>
            </c:extLst>
          </c:dPt>
          <c:dPt>
            <c:idx val="14"/>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66-B278-45E2-AB4A-2159E8E7249A}"/>
              </c:ext>
            </c:extLst>
          </c:dPt>
          <c:dPt>
            <c:idx val="16"/>
            <c:invertIfNegative val="0"/>
            <c:bubble3D val="0"/>
            <c:spPr>
              <a:solidFill>
                <a:srgbClr val="00B050"/>
              </a:solidFill>
              <a:ln>
                <a:noFill/>
              </a:ln>
              <a:effectLst/>
            </c:spPr>
            <c:extLst>
              <c:ext xmlns:c16="http://schemas.microsoft.com/office/drawing/2014/chart" uri="{C3380CC4-5D6E-409C-BE32-E72D297353CC}">
                <c16:uniqueId val="{00000068-B278-45E2-AB4A-2159E8E7249A}"/>
              </c:ext>
            </c:extLst>
          </c:dPt>
          <c:dPt>
            <c:idx val="17"/>
            <c:invertIfNegative val="0"/>
            <c:bubble3D val="0"/>
            <c:spPr>
              <a:solidFill>
                <a:srgbClr val="C00000"/>
              </a:solidFill>
              <a:ln>
                <a:noFill/>
              </a:ln>
              <a:effectLst/>
            </c:spPr>
            <c:extLst>
              <c:ext xmlns:c16="http://schemas.microsoft.com/office/drawing/2014/chart" uri="{C3380CC4-5D6E-409C-BE32-E72D297353CC}">
                <c16:uniqueId val="{0000006A-B278-45E2-AB4A-2159E8E7249A}"/>
              </c:ext>
            </c:extLst>
          </c:dPt>
          <c:dPt>
            <c:idx val="18"/>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6C-B278-45E2-AB4A-2159E8E7249A}"/>
              </c:ext>
            </c:extLst>
          </c:dPt>
          <c:dPt>
            <c:idx val="20"/>
            <c:invertIfNegative val="0"/>
            <c:bubble3D val="0"/>
            <c:spPr>
              <a:solidFill>
                <a:srgbClr val="00B050"/>
              </a:solidFill>
              <a:ln>
                <a:noFill/>
              </a:ln>
              <a:effectLst/>
            </c:spPr>
            <c:extLst>
              <c:ext xmlns:c16="http://schemas.microsoft.com/office/drawing/2014/chart" uri="{C3380CC4-5D6E-409C-BE32-E72D297353CC}">
                <c16:uniqueId val="{0000006E-B278-45E2-AB4A-2159E8E7249A}"/>
              </c:ext>
            </c:extLst>
          </c:dPt>
          <c:dPt>
            <c:idx val="21"/>
            <c:invertIfNegative val="0"/>
            <c:bubble3D val="0"/>
            <c:spPr>
              <a:solidFill>
                <a:srgbClr val="C00000"/>
              </a:solidFill>
              <a:ln>
                <a:noFill/>
              </a:ln>
              <a:effectLst/>
            </c:spPr>
            <c:extLst>
              <c:ext xmlns:c16="http://schemas.microsoft.com/office/drawing/2014/chart" uri="{C3380CC4-5D6E-409C-BE32-E72D297353CC}">
                <c16:uniqueId val="{00000070-B278-45E2-AB4A-2159E8E7249A}"/>
              </c:ext>
            </c:extLst>
          </c:dPt>
          <c:dPt>
            <c:idx val="22"/>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72-B278-45E2-AB4A-2159E8E7249A}"/>
              </c:ext>
            </c:extLst>
          </c:dPt>
          <c:dPt>
            <c:idx val="24"/>
            <c:invertIfNegative val="0"/>
            <c:bubble3D val="0"/>
            <c:spPr>
              <a:solidFill>
                <a:srgbClr val="00B050"/>
              </a:solidFill>
              <a:ln>
                <a:noFill/>
              </a:ln>
              <a:effectLst/>
            </c:spPr>
            <c:extLst>
              <c:ext xmlns:c16="http://schemas.microsoft.com/office/drawing/2014/chart" uri="{C3380CC4-5D6E-409C-BE32-E72D297353CC}">
                <c16:uniqueId val="{00000074-B278-45E2-AB4A-2159E8E7249A}"/>
              </c:ext>
            </c:extLst>
          </c:dPt>
          <c:dPt>
            <c:idx val="25"/>
            <c:invertIfNegative val="0"/>
            <c:bubble3D val="0"/>
            <c:spPr>
              <a:solidFill>
                <a:srgbClr val="C00000"/>
              </a:solidFill>
              <a:ln>
                <a:noFill/>
              </a:ln>
              <a:effectLst/>
            </c:spPr>
            <c:extLst>
              <c:ext xmlns:c16="http://schemas.microsoft.com/office/drawing/2014/chart" uri="{C3380CC4-5D6E-409C-BE32-E72D297353CC}">
                <c16:uniqueId val="{00000076-B278-45E2-AB4A-2159E8E7249A}"/>
              </c:ext>
            </c:extLst>
          </c:dPt>
          <c:dPt>
            <c:idx val="26"/>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78-B278-45E2-AB4A-2159E8E7249A}"/>
              </c:ext>
            </c:extLst>
          </c:dPt>
          <c:dPt>
            <c:idx val="28"/>
            <c:invertIfNegative val="0"/>
            <c:bubble3D val="0"/>
            <c:spPr>
              <a:solidFill>
                <a:srgbClr val="00B050"/>
              </a:solidFill>
              <a:ln>
                <a:noFill/>
              </a:ln>
              <a:effectLst/>
            </c:spPr>
            <c:extLst>
              <c:ext xmlns:c16="http://schemas.microsoft.com/office/drawing/2014/chart" uri="{C3380CC4-5D6E-409C-BE32-E72D297353CC}">
                <c16:uniqueId val="{0000007A-B278-45E2-AB4A-2159E8E7249A}"/>
              </c:ext>
            </c:extLst>
          </c:dPt>
          <c:dPt>
            <c:idx val="29"/>
            <c:invertIfNegative val="0"/>
            <c:bubble3D val="0"/>
            <c:spPr>
              <a:solidFill>
                <a:srgbClr val="C00000"/>
              </a:solidFill>
              <a:ln>
                <a:noFill/>
              </a:ln>
              <a:effectLst/>
            </c:spPr>
            <c:extLst>
              <c:ext xmlns:c16="http://schemas.microsoft.com/office/drawing/2014/chart" uri="{C3380CC4-5D6E-409C-BE32-E72D297353CC}">
                <c16:uniqueId val="{0000007C-B278-45E2-AB4A-2159E8E7249A}"/>
              </c:ext>
            </c:extLst>
          </c:dPt>
          <c:dPt>
            <c:idx val="30"/>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7E-B278-45E2-AB4A-2159E8E7249A}"/>
              </c:ext>
            </c:extLst>
          </c:dPt>
          <c:dPt>
            <c:idx val="32"/>
            <c:invertIfNegative val="0"/>
            <c:bubble3D val="0"/>
            <c:spPr>
              <a:solidFill>
                <a:srgbClr val="00B050"/>
              </a:solidFill>
              <a:ln>
                <a:noFill/>
              </a:ln>
              <a:effectLst/>
            </c:spPr>
            <c:extLst>
              <c:ext xmlns:c16="http://schemas.microsoft.com/office/drawing/2014/chart" uri="{C3380CC4-5D6E-409C-BE32-E72D297353CC}">
                <c16:uniqueId val="{00000080-B278-45E2-AB4A-2159E8E7249A}"/>
              </c:ext>
            </c:extLst>
          </c:dPt>
          <c:dPt>
            <c:idx val="33"/>
            <c:invertIfNegative val="0"/>
            <c:bubble3D val="0"/>
            <c:spPr>
              <a:solidFill>
                <a:srgbClr val="C00000"/>
              </a:solidFill>
              <a:ln>
                <a:noFill/>
              </a:ln>
              <a:effectLst/>
            </c:spPr>
            <c:extLst>
              <c:ext xmlns:c16="http://schemas.microsoft.com/office/drawing/2014/chart" uri="{C3380CC4-5D6E-409C-BE32-E72D297353CC}">
                <c16:uniqueId val="{00000082-B278-45E2-AB4A-2159E8E7249A}"/>
              </c:ext>
            </c:extLst>
          </c:dPt>
          <c:dPt>
            <c:idx val="34"/>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84-B278-45E2-AB4A-2159E8E7249A}"/>
              </c:ext>
            </c:extLst>
          </c:dPt>
          <c:dPt>
            <c:idx val="36"/>
            <c:invertIfNegative val="0"/>
            <c:bubble3D val="0"/>
            <c:spPr>
              <a:solidFill>
                <a:srgbClr val="00B050"/>
              </a:solidFill>
              <a:ln>
                <a:noFill/>
              </a:ln>
              <a:effectLst/>
            </c:spPr>
            <c:extLst>
              <c:ext xmlns:c16="http://schemas.microsoft.com/office/drawing/2014/chart" uri="{C3380CC4-5D6E-409C-BE32-E72D297353CC}">
                <c16:uniqueId val="{00000086-B278-45E2-AB4A-2159E8E7249A}"/>
              </c:ext>
            </c:extLst>
          </c:dPt>
          <c:dPt>
            <c:idx val="37"/>
            <c:invertIfNegative val="0"/>
            <c:bubble3D val="0"/>
            <c:spPr>
              <a:solidFill>
                <a:srgbClr val="C00000"/>
              </a:solidFill>
              <a:ln>
                <a:noFill/>
              </a:ln>
              <a:effectLst/>
            </c:spPr>
            <c:extLst>
              <c:ext xmlns:c16="http://schemas.microsoft.com/office/drawing/2014/chart" uri="{C3380CC4-5D6E-409C-BE32-E72D297353CC}">
                <c16:uniqueId val="{00000088-B278-45E2-AB4A-2159E8E7249A}"/>
              </c:ext>
            </c:extLst>
          </c:dPt>
          <c:dPt>
            <c:idx val="38"/>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8A-B278-45E2-AB4A-2159E8E7249A}"/>
              </c:ext>
            </c:extLst>
          </c:dPt>
          <c:dPt>
            <c:idx val="40"/>
            <c:invertIfNegative val="0"/>
            <c:bubble3D val="0"/>
            <c:spPr>
              <a:solidFill>
                <a:srgbClr val="00B050"/>
              </a:solidFill>
              <a:ln>
                <a:noFill/>
              </a:ln>
              <a:effectLst/>
            </c:spPr>
            <c:extLst>
              <c:ext xmlns:c16="http://schemas.microsoft.com/office/drawing/2014/chart" uri="{C3380CC4-5D6E-409C-BE32-E72D297353CC}">
                <c16:uniqueId val="{0000008C-B278-45E2-AB4A-2159E8E7249A}"/>
              </c:ext>
            </c:extLst>
          </c:dPt>
          <c:dPt>
            <c:idx val="41"/>
            <c:invertIfNegative val="0"/>
            <c:bubble3D val="0"/>
            <c:spPr>
              <a:solidFill>
                <a:srgbClr val="C00000"/>
              </a:solidFill>
              <a:ln>
                <a:noFill/>
              </a:ln>
              <a:effectLst/>
            </c:spPr>
            <c:extLst>
              <c:ext xmlns:c16="http://schemas.microsoft.com/office/drawing/2014/chart" uri="{C3380CC4-5D6E-409C-BE32-E72D297353CC}">
                <c16:uniqueId val="{0000008E-B278-45E2-AB4A-2159E8E7249A}"/>
              </c:ext>
            </c:extLst>
          </c:dPt>
          <c:dPt>
            <c:idx val="42"/>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90-B278-45E2-AB4A-2159E8E7249A}"/>
              </c:ext>
            </c:extLst>
          </c:dPt>
          <c:dPt>
            <c:idx val="44"/>
            <c:invertIfNegative val="0"/>
            <c:bubble3D val="0"/>
            <c:spPr>
              <a:solidFill>
                <a:srgbClr val="00B050"/>
              </a:solidFill>
              <a:ln>
                <a:noFill/>
              </a:ln>
              <a:effectLst/>
            </c:spPr>
            <c:extLst>
              <c:ext xmlns:c16="http://schemas.microsoft.com/office/drawing/2014/chart" uri="{C3380CC4-5D6E-409C-BE32-E72D297353CC}">
                <c16:uniqueId val="{00000092-B278-45E2-AB4A-2159E8E7249A}"/>
              </c:ext>
            </c:extLst>
          </c:dPt>
          <c:dPt>
            <c:idx val="45"/>
            <c:invertIfNegative val="0"/>
            <c:bubble3D val="0"/>
            <c:spPr>
              <a:solidFill>
                <a:srgbClr val="C00000"/>
              </a:solidFill>
              <a:ln>
                <a:noFill/>
              </a:ln>
              <a:effectLst/>
            </c:spPr>
            <c:extLst>
              <c:ext xmlns:c16="http://schemas.microsoft.com/office/drawing/2014/chart" uri="{C3380CC4-5D6E-409C-BE32-E72D297353CC}">
                <c16:uniqueId val="{00000094-B278-45E2-AB4A-2159E8E7249A}"/>
              </c:ext>
            </c:extLst>
          </c:dPt>
          <c:dPt>
            <c:idx val="46"/>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96-B278-45E2-AB4A-2159E8E7249A}"/>
              </c:ext>
            </c:extLst>
          </c:dPt>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Calculations!$X$56:$X$103</c:f>
              <c:numCache>
                <c:formatCode>_-* #,##0_-;\-* #,##0_-;_-*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7-B278-45E2-AB4A-2159E8E7249A}"/>
            </c:ext>
          </c:extLst>
        </c:ser>
        <c:ser>
          <c:idx val="6"/>
          <c:order val="6"/>
          <c:spPr>
            <a:solidFill>
              <a:srgbClr val="D3D3D3"/>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Calculations!$Y$56:$Y$103</c:f>
              <c:numCache>
                <c:formatCode>General</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8-B278-45E2-AB4A-2159E8E7249A}"/>
            </c:ext>
          </c:extLst>
        </c:ser>
        <c:ser>
          <c:idx val="7"/>
          <c:order val="7"/>
          <c:spPr>
            <a:solidFill>
              <a:schemeClr val="accent2">
                <a:lumMod val="60000"/>
              </a:schemeClr>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Calculations!$Z$56:$Z$103</c:f>
            </c:numRef>
          </c:val>
          <c:extLst>
            <c:ext xmlns:c16="http://schemas.microsoft.com/office/drawing/2014/chart" uri="{C3380CC4-5D6E-409C-BE32-E72D297353CC}">
              <c16:uniqueId val="{00000099-B278-45E2-AB4A-2159E8E7249A}"/>
            </c:ext>
          </c:extLst>
        </c:ser>
        <c:ser>
          <c:idx val="8"/>
          <c:order val="8"/>
          <c:spPr>
            <a:solidFill>
              <a:schemeClr val="accent3">
                <a:lumMod val="60000"/>
              </a:schemeClr>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Calculations!$AA$56:$AA$103</c:f>
            </c:numRef>
          </c:val>
          <c:extLst>
            <c:ext xmlns:c16="http://schemas.microsoft.com/office/drawing/2014/chart" uri="{C3380CC4-5D6E-409C-BE32-E72D297353CC}">
              <c16:uniqueId val="{0000009A-B278-45E2-AB4A-2159E8E7249A}"/>
            </c:ext>
          </c:extLst>
        </c:ser>
        <c:ser>
          <c:idx val="9"/>
          <c:order val="9"/>
          <c:spPr>
            <a:solidFill>
              <a:schemeClr val="accent4">
                <a:lumMod val="60000"/>
              </a:schemeClr>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Calculations!$AB$56:$AB$103</c:f>
            </c:numRef>
          </c:val>
          <c:extLst>
            <c:ext xmlns:c16="http://schemas.microsoft.com/office/drawing/2014/chart" uri="{C3380CC4-5D6E-409C-BE32-E72D297353CC}">
              <c16:uniqueId val="{0000009B-B278-45E2-AB4A-2159E8E7249A}"/>
            </c:ext>
          </c:extLst>
        </c:ser>
        <c:ser>
          <c:idx val="10"/>
          <c:order val="10"/>
          <c:spPr>
            <a:solidFill>
              <a:schemeClr val="bg1">
                <a:lumMod val="95000"/>
              </a:schemeClr>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Calculations!$AC$56:$AC$103</c:f>
              <c:numCache>
                <c:formatCode>General</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C-B278-45E2-AB4A-2159E8E7249A}"/>
            </c:ext>
          </c:extLst>
        </c:ser>
        <c:ser>
          <c:idx val="11"/>
          <c:order val="11"/>
          <c:spPr>
            <a:solidFill>
              <a:schemeClr val="bg1">
                <a:lumMod val="85000"/>
              </a:schemeClr>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Calculations!$AD$56:$AD$103</c:f>
              <c:numCache>
                <c:formatCode>_-* #,##0_-;\-* #,##0_-;_-*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D-B278-45E2-AB4A-2159E8E7249A}"/>
            </c:ext>
          </c:extLst>
        </c:ser>
        <c:dLbls>
          <c:showLegendKey val="0"/>
          <c:showVal val="0"/>
          <c:showCatName val="0"/>
          <c:showSerName val="0"/>
          <c:showPercent val="0"/>
          <c:showBubbleSize val="0"/>
        </c:dLbls>
        <c:gapWidth val="21"/>
        <c:overlap val="100"/>
        <c:axId val="1498513616"/>
        <c:axId val="1498514096"/>
      </c:barChart>
      <c:catAx>
        <c:axId val="1498513616"/>
        <c:scaling>
          <c:orientation val="minMax"/>
        </c:scaling>
        <c:delete val="0"/>
        <c:axPos val="b"/>
        <c:numFmt formatCode="mmm" sourceLinked="1"/>
        <c:majorTickMark val="none"/>
        <c:minorTickMark val="none"/>
        <c:tickLblPos val="nextTo"/>
        <c:spPr>
          <a:noFill/>
          <a:ln w="9525" cap="flat" cmpd="sng" algn="ctr">
            <a:solidFill>
              <a:srgbClr val="D3D3D3">
                <a:alpha val="94000"/>
              </a:srgb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514096"/>
        <c:crosses val="autoZero"/>
        <c:auto val="0"/>
        <c:lblAlgn val="ctr"/>
        <c:lblOffset val="100"/>
        <c:noMultiLvlLbl val="0"/>
      </c:catAx>
      <c:valAx>
        <c:axId val="1498514096"/>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51361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32965024860822"/>
          <c:y val="0"/>
          <c:w val="0.88599710750441907"/>
          <c:h val="1"/>
        </c:manualLayout>
      </c:layout>
      <c:barChart>
        <c:barDir val="bar"/>
        <c:grouping val="clustered"/>
        <c:varyColors val="0"/>
        <c:ser>
          <c:idx val="0"/>
          <c:order val="0"/>
          <c:spPr>
            <a:solidFill>
              <a:schemeClr val="bg1">
                <a:lumMod val="85000"/>
              </a:schemeClr>
            </a:solidFill>
            <a:ln>
              <a:noFill/>
            </a:ln>
            <a:effectLst/>
          </c:spPr>
          <c:invertIfNegative val="0"/>
          <c:val>
            <c:numRef>
              <c:f>Calculations!$E$22</c:f>
              <c:numCache>
                <c:formatCode>0%</c:formatCode>
                <c:ptCount val="1"/>
                <c:pt idx="0">
                  <c:v>0.75683060109289613</c:v>
                </c:pt>
              </c:numCache>
            </c:numRef>
          </c:val>
          <c:extLst>
            <c:ext xmlns:c16="http://schemas.microsoft.com/office/drawing/2014/chart" uri="{C3380CC4-5D6E-409C-BE32-E72D297353CC}">
              <c16:uniqueId val="{00000000-67EB-4A2A-88B2-07AF47AB6AA1}"/>
            </c:ext>
          </c:extLst>
        </c:ser>
        <c:dLbls>
          <c:showLegendKey val="0"/>
          <c:showVal val="0"/>
          <c:showCatName val="0"/>
          <c:showSerName val="0"/>
          <c:showPercent val="0"/>
          <c:showBubbleSize val="0"/>
        </c:dLbls>
        <c:gapWidth val="0"/>
        <c:axId val="1625683343"/>
        <c:axId val="1625679503"/>
      </c:barChart>
      <c:catAx>
        <c:axId val="1625683343"/>
        <c:scaling>
          <c:orientation val="minMax"/>
        </c:scaling>
        <c:delete val="1"/>
        <c:axPos val="l"/>
        <c:majorTickMark val="none"/>
        <c:minorTickMark val="none"/>
        <c:tickLblPos val="nextTo"/>
        <c:crossAx val="1625679503"/>
        <c:crosses val="autoZero"/>
        <c:auto val="1"/>
        <c:lblAlgn val="ctr"/>
        <c:lblOffset val="100"/>
        <c:noMultiLvlLbl val="0"/>
      </c:catAx>
      <c:valAx>
        <c:axId val="1625679503"/>
        <c:scaling>
          <c:orientation val="minMax"/>
          <c:max val="1"/>
        </c:scaling>
        <c:delete val="1"/>
        <c:axPos val="b"/>
        <c:numFmt formatCode="0%" sourceLinked="1"/>
        <c:majorTickMark val="none"/>
        <c:minorTickMark val="none"/>
        <c:tickLblPos val="nextTo"/>
        <c:crossAx val="1625683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64923310858092"/>
          <c:y val="4.8056637265162419E-2"/>
          <c:w val="0.8515453867843118"/>
          <c:h val="0.82112313794279868"/>
        </c:manualLayout>
      </c:layout>
      <c:barChart>
        <c:barDir val="col"/>
        <c:grouping val="stacked"/>
        <c:varyColors val="0"/>
        <c:ser>
          <c:idx val="0"/>
          <c:order val="0"/>
          <c:spPr>
            <a:solidFill>
              <a:schemeClr val="accent3">
                <a:lumMod val="60000"/>
                <a:lumOff val="40000"/>
              </a:schemeClr>
            </a:solidFill>
            <a:ln>
              <a:noFill/>
            </a:ln>
            <a:effectLst/>
          </c:spPr>
          <c:invertIfNegative val="0"/>
          <c:dPt>
            <c:idx val="1"/>
            <c:invertIfNegative val="0"/>
            <c:bubble3D val="0"/>
            <c:spPr>
              <a:solidFill>
                <a:srgbClr val="FF0000"/>
              </a:solidFill>
              <a:ln>
                <a:noFill/>
              </a:ln>
              <a:effectLst/>
            </c:spPr>
            <c:extLst>
              <c:ext xmlns:c16="http://schemas.microsoft.com/office/drawing/2014/chart" uri="{C3380CC4-5D6E-409C-BE32-E72D297353CC}">
                <c16:uniqueId val="{0000000C-430F-4958-A29D-673A1D4372CD}"/>
              </c:ext>
            </c:extLst>
          </c:dPt>
          <c:dPt>
            <c:idx val="2"/>
            <c:invertIfNegative val="0"/>
            <c:bubble3D val="0"/>
            <c:spPr>
              <a:solidFill>
                <a:srgbClr val="00B0F0"/>
              </a:solidFill>
              <a:ln>
                <a:noFill/>
              </a:ln>
              <a:effectLst/>
            </c:spPr>
            <c:extLst>
              <c:ext xmlns:c16="http://schemas.microsoft.com/office/drawing/2014/chart" uri="{C3380CC4-5D6E-409C-BE32-E72D297353CC}">
                <c16:uniqueId val="{0000000F-430F-4958-A29D-673A1D4372CD}"/>
              </c:ext>
            </c:extLst>
          </c:dPt>
          <c:dPt>
            <c:idx val="5"/>
            <c:invertIfNegative val="0"/>
            <c:bubble3D val="0"/>
            <c:spPr>
              <a:solidFill>
                <a:srgbClr val="FF0000"/>
              </a:solidFill>
              <a:ln>
                <a:noFill/>
              </a:ln>
              <a:effectLst/>
            </c:spPr>
            <c:extLst>
              <c:ext xmlns:c16="http://schemas.microsoft.com/office/drawing/2014/chart" uri="{C3380CC4-5D6E-409C-BE32-E72D297353CC}">
                <c16:uniqueId val="{00000012-430F-4958-A29D-673A1D4372CD}"/>
              </c:ext>
            </c:extLst>
          </c:dPt>
          <c:dPt>
            <c:idx val="6"/>
            <c:invertIfNegative val="0"/>
            <c:bubble3D val="0"/>
            <c:spPr>
              <a:solidFill>
                <a:srgbClr val="00B0F0"/>
              </a:solidFill>
              <a:ln>
                <a:noFill/>
              </a:ln>
              <a:effectLst/>
            </c:spPr>
            <c:extLst>
              <c:ext xmlns:c16="http://schemas.microsoft.com/office/drawing/2014/chart" uri="{C3380CC4-5D6E-409C-BE32-E72D297353CC}">
                <c16:uniqueId val="{0000001D-430F-4958-A29D-673A1D4372CD}"/>
              </c:ext>
            </c:extLst>
          </c:dPt>
          <c:dPt>
            <c:idx val="9"/>
            <c:invertIfNegative val="0"/>
            <c:bubble3D val="0"/>
            <c:spPr>
              <a:solidFill>
                <a:srgbClr val="FF0000"/>
              </a:solidFill>
              <a:ln>
                <a:noFill/>
              </a:ln>
              <a:effectLst/>
            </c:spPr>
            <c:extLst>
              <c:ext xmlns:c16="http://schemas.microsoft.com/office/drawing/2014/chart" uri="{C3380CC4-5D6E-409C-BE32-E72D297353CC}">
                <c16:uniqueId val="{00000013-430F-4958-A29D-673A1D4372CD}"/>
              </c:ext>
            </c:extLst>
          </c:dPt>
          <c:dPt>
            <c:idx val="10"/>
            <c:invertIfNegative val="0"/>
            <c:bubble3D val="0"/>
            <c:spPr>
              <a:solidFill>
                <a:srgbClr val="00B0F0"/>
              </a:solidFill>
              <a:ln>
                <a:noFill/>
              </a:ln>
              <a:effectLst/>
            </c:spPr>
            <c:extLst>
              <c:ext xmlns:c16="http://schemas.microsoft.com/office/drawing/2014/chart" uri="{C3380CC4-5D6E-409C-BE32-E72D297353CC}">
                <c16:uniqueId val="{0000001E-430F-4958-A29D-673A1D4372CD}"/>
              </c:ext>
            </c:extLst>
          </c:dPt>
          <c:dPt>
            <c:idx val="13"/>
            <c:invertIfNegative val="0"/>
            <c:bubble3D val="0"/>
            <c:spPr>
              <a:solidFill>
                <a:srgbClr val="FF0000"/>
              </a:solidFill>
              <a:ln>
                <a:noFill/>
              </a:ln>
              <a:effectLst/>
            </c:spPr>
            <c:extLst>
              <c:ext xmlns:c16="http://schemas.microsoft.com/office/drawing/2014/chart" uri="{C3380CC4-5D6E-409C-BE32-E72D297353CC}">
                <c16:uniqueId val="{00000014-430F-4958-A29D-673A1D4372CD}"/>
              </c:ext>
            </c:extLst>
          </c:dPt>
          <c:dPt>
            <c:idx val="14"/>
            <c:invertIfNegative val="0"/>
            <c:bubble3D val="0"/>
            <c:spPr>
              <a:solidFill>
                <a:srgbClr val="00B0F0"/>
              </a:solidFill>
              <a:ln>
                <a:noFill/>
              </a:ln>
              <a:effectLst/>
            </c:spPr>
            <c:extLst>
              <c:ext xmlns:c16="http://schemas.microsoft.com/office/drawing/2014/chart" uri="{C3380CC4-5D6E-409C-BE32-E72D297353CC}">
                <c16:uniqueId val="{0000001F-430F-4958-A29D-673A1D4372CD}"/>
              </c:ext>
            </c:extLst>
          </c:dPt>
          <c:dPt>
            <c:idx val="17"/>
            <c:invertIfNegative val="0"/>
            <c:bubble3D val="0"/>
            <c:spPr>
              <a:solidFill>
                <a:srgbClr val="FF0000"/>
              </a:solidFill>
              <a:ln>
                <a:noFill/>
              </a:ln>
              <a:effectLst/>
            </c:spPr>
            <c:extLst>
              <c:ext xmlns:c16="http://schemas.microsoft.com/office/drawing/2014/chart" uri="{C3380CC4-5D6E-409C-BE32-E72D297353CC}">
                <c16:uniqueId val="{00000015-430F-4958-A29D-673A1D4372CD}"/>
              </c:ext>
            </c:extLst>
          </c:dPt>
          <c:dPt>
            <c:idx val="18"/>
            <c:invertIfNegative val="0"/>
            <c:bubble3D val="0"/>
            <c:spPr>
              <a:solidFill>
                <a:srgbClr val="00B0F0"/>
              </a:solidFill>
              <a:ln>
                <a:noFill/>
              </a:ln>
              <a:effectLst/>
            </c:spPr>
            <c:extLst>
              <c:ext xmlns:c16="http://schemas.microsoft.com/office/drawing/2014/chart" uri="{C3380CC4-5D6E-409C-BE32-E72D297353CC}">
                <c16:uniqueId val="{00000020-430F-4958-A29D-673A1D4372CD}"/>
              </c:ext>
            </c:extLst>
          </c:dPt>
          <c:dPt>
            <c:idx val="21"/>
            <c:invertIfNegative val="0"/>
            <c:bubble3D val="0"/>
            <c:spPr>
              <a:solidFill>
                <a:srgbClr val="FF0000"/>
              </a:solidFill>
              <a:ln>
                <a:noFill/>
              </a:ln>
              <a:effectLst/>
            </c:spPr>
            <c:extLst>
              <c:ext xmlns:c16="http://schemas.microsoft.com/office/drawing/2014/chart" uri="{C3380CC4-5D6E-409C-BE32-E72D297353CC}">
                <c16:uniqueId val="{00000016-430F-4958-A29D-673A1D4372CD}"/>
              </c:ext>
            </c:extLst>
          </c:dPt>
          <c:dPt>
            <c:idx val="22"/>
            <c:invertIfNegative val="0"/>
            <c:bubble3D val="0"/>
            <c:spPr>
              <a:solidFill>
                <a:srgbClr val="00B0F0"/>
              </a:solidFill>
              <a:ln>
                <a:noFill/>
              </a:ln>
              <a:effectLst/>
            </c:spPr>
            <c:extLst>
              <c:ext xmlns:c16="http://schemas.microsoft.com/office/drawing/2014/chart" uri="{C3380CC4-5D6E-409C-BE32-E72D297353CC}">
                <c16:uniqueId val="{00000021-430F-4958-A29D-673A1D4372CD}"/>
              </c:ext>
            </c:extLst>
          </c:dPt>
          <c:dPt>
            <c:idx val="25"/>
            <c:invertIfNegative val="0"/>
            <c:bubble3D val="0"/>
            <c:spPr>
              <a:solidFill>
                <a:srgbClr val="FF0000"/>
              </a:solidFill>
              <a:ln>
                <a:noFill/>
              </a:ln>
              <a:effectLst/>
            </c:spPr>
            <c:extLst>
              <c:ext xmlns:c16="http://schemas.microsoft.com/office/drawing/2014/chart" uri="{C3380CC4-5D6E-409C-BE32-E72D297353CC}">
                <c16:uniqueId val="{00000017-430F-4958-A29D-673A1D4372CD}"/>
              </c:ext>
            </c:extLst>
          </c:dPt>
          <c:dPt>
            <c:idx val="26"/>
            <c:invertIfNegative val="0"/>
            <c:bubble3D val="0"/>
            <c:spPr>
              <a:solidFill>
                <a:srgbClr val="00B0F0"/>
              </a:solidFill>
              <a:ln>
                <a:noFill/>
              </a:ln>
              <a:effectLst/>
            </c:spPr>
            <c:extLst>
              <c:ext xmlns:c16="http://schemas.microsoft.com/office/drawing/2014/chart" uri="{C3380CC4-5D6E-409C-BE32-E72D297353CC}">
                <c16:uniqueId val="{00000022-430F-4958-A29D-673A1D4372CD}"/>
              </c:ext>
            </c:extLst>
          </c:dPt>
          <c:dPt>
            <c:idx val="29"/>
            <c:invertIfNegative val="0"/>
            <c:bubble3D val="0"/>
            <c:spPr>
              <a:solidFill>
                <a:srgbClr val="FF0000"/>
              </a:solidFill>
              <a:ln>
                <a:noFill/>
              </a:ln>
              <a:effectLst/>
            </c:spPr>
            <c:extLst>
              <c:ext xmlns:c16="http://schemas.microsoft.com/office/drawing/2014/chart" uri="{C3380CC4-5D6E-409C-BE32-E72D297353CC}">
                <c16:uniqueId val="{00000018-430F-4958-A29D-673A1D4372CD}"/>
              </c:ext>
            </c:extLst>
          </c:dPt>
          <c:dPt>
            <c:idx val="30"/>
            <c:invertIfNegative val="0"/>
            <c:bubble3D val="0"/>
            <c:spPr>
              <a:solidFill>
                <a:srgbClr val="00B0F0"/>
              </a:solidFill>
              <a:ln>
                <a:noFill/>
              </a:ln>
              <a:effectLst/>
            </c:spPr>
            <c:extLst>
              <c:ext xmlns:c16="http://schemas.microsoft.com/office/drawing/2014/chart" uri="{C3380CC4-5D6E-409C-BE32-E72D297353CC}">
                <c16:uniqueId val="{00000023-430F-4958-A29D-673A1D4372CD}"/>
              </c:ext>
            </c:extLst>
          </c:dPt>
          <c:dPt>
            <c:idx val="33"/>
            <c:invertIfNegative val="0"/>
            <c:bubble3D val="0"/>
            <c:spPr>
              <a:solidFill>
                <a:srgbClr val="FF0000"/>
              </a:solidFill>
              <a:ln>
                <a:noFill/>
              </a:ln>
              <a:effectLst/>
            </c:spPr>
            <c:extLst>
              <c:ext xmlns:c16="http://schemas.microsoft.com/office/drawing/2014/chart" uri="{C3380CC4-5D6E-409C-BE32-E72D297353CC}">
                <c16:uniqueId val="{00000019-430F-4958-A29D-673A1D4372CD}"/>
              </c:ext>
            </c:extLst>
          </c:dPt>
          <c:dPt>
            <c:idx val="34"/>
            <c:invertIfNegative val="0"/>
            <c:bubble3D val="0"/>
            <c:spPr>
              <a:solidFill>
                <a:srgbClr val="00B0F0"/>
              </a:solidFill>
              <a:ln>
                <a:noFill/>
              </a:ln>
              <a:effectLst/>
            </c:spPr>
            <c:extLst>
              <c:ext xmlns:c16="http://schemas.microsoft.com/office/drawing/2014/chart" uri="{C3380CC4-5D6E-409C-BE32-E72D297353CC}">
                <c16:uniqueId val="{00000024-430F-4958-A29D-673A1D4372CD}"/>
              </c:ext>
            </c:extLst>
          </c:dPt>
          <c:dPt>
            <c:idx val="37"/>
            <c:invertIfNegative val="0"/>
            <c:bubble3D val="0"/>
            <c:spPr>
              <a:solidFill>
                <a:srgbClr val="FF0000"/>
              </a:solidFill>
              <a:ln>
                <a:noFill/>
              </a:ln>
              <a:effectLst/>
            </c:spPr>
            <c:extLst>
              <c:ext xmlns:c16="http://schemas.microsoft.com/office/drawing/2014/chart" uri="{C3380CC4-5D6E-409C-BE32-E72D297353CC}">
                <c16:uniqueId val="{0000001A-430F-4958-A29D-673A1D4372CD}"/>
              </c:ext>
            </c:extLst>
          </c:dPt>
          <c:dPt>
            <c:idx val="38"/>
            <c:invertIfNegative val="0"/>
            <c:bubble3D val="0"/>
            <c:spPr>
              <a:solidFill>
                <a:srgbClr val="00B0F0"/>
              </a:solidFill>
              <a:ln>
                <a:noFill/>
              </a:ln>
              <a:effectLst/>
            </c:spPr>
            <c:extLst>
              <c:ext xmlns:c16="http://schemas.microsoft.com/office/drawing/2014/chart" uri="{C3380CC4-5D6E-409C-BE32-E72D297353CC}">
                <c16:uniqueId val="{00000025-430F-4958-A29D-673A1D4372CD}"/>
              </c:ext>
            </c:extLst>
          </c:dPt>
          <c:dPt>
            <c:idx val="41"/>
            <c:invertIfNegative val="0"/>
            <c:bubble3D val="0"/>
            <c:spPr>
              <a:solidFill>
                <a:srgbClr val="FF0000"/>
              </a:solidFill>
              <a:ln>
                <a:noFill/>
              </a:ln>
              <a:effectLst/>
            </c:spPr>
            <c:extLst>
              <c:ext xmlns:c16="http://schemas.microsoft.com/office/drawing/2014/chart" uri="{C3380CC4-5D6E-409C-BE32-E72D297353CC}">
                <c16:uniqueId val="{0000001B-430F-4958-A29D-673A1D4372CD}"/>
              </c:ext>
            </c:extLst>
          </c:dPt>
          <c:dPt>
            <c:idx val="42"/>
            <c:invertIfNegative val="0"/>
            <c:bubble3D val="0"/>
            <c:spPr>
              <a:solidFill>
                <a:srgbClr val="00B0F0"/>
              </a:solidFill>
              <a:ln>
                <a:noFill/>
              </a:ln>
              <a:effectLst/>
            </c:spPr>
            <c:extLst>
              <c:ext xmlns:c16="http://schemas.microsoft.com/office/drawing/2014/chart" uri="{C3380CC4-5D6E-409C-BE32-E72D297353CC}">
                <c16:uniqueId val="{00000026-430F-4958-A29D-673A1D4372CD}"/>
              </c:ext>
            </c:extLst>
          </c:dPt>
          <c:dPt>
            <c:idx val="45"/>
            <c:invertIfNegative val="0"/>
            <c:bubble3D val="0"/>
            <c:spPr>
              <a:solidFill>
                <a:srgbClr val="FF0000"/>
              </a:solidFill>
              <a:ln>
                <a:noFill/>
              </a:ln>
              <a:effectLst/>
            </c:spPr>
            <c:extLst>
              <c:ext xmlns:c16="http://schemas.microsoft.com/office/drawing/2014/chart" uri="{C3380CC4-5D6E-409C-BE32-E72D297353CC}">
                <c16:uniqueId val="{0000001C-430F-4958-A29D-673A1D4372CD}"/>
              </c:ext>
            </c:extLst>
          </c:dPt>
          <c:dPt>
            <c:idx val="46"/>
            <c:invertIfNegative val="0"/>
            <c:bubble3D val="0"/>
            <c:spPr>
              <a:solidFill>
                <a:srgbClr val="00B0F0"/>
              </a:solidFill>
              <a:ln>
                <a:noFill/>
              </a:ln>
              <a:effectLst/>
            </c:spPr>
            <c:extLst>
              <c:ext xmlns:c16="http://schemas.microsoft.com/office/drawing/2014/chart" uri="{C3380CC4-5D6E-409C-BE32-E72D297353CC}">
                <c16:uniqueId val="{00000027-430F-4958-A29D-673A1D4372CD}"/>
              </c:ext>
            </c:extLst>
          </c:dPt>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Calculations!$S$56:$S$103</c:f>
              <c:numCache>
                <c:formatCode>General</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00-430F-4958-A29D-673A1D4372CD}"/>
            </c:ext>
          </c:extLst>
        </c:ser>
        <c:ser>
          <c:idx val="1"/>
          <c:order val="1"/>
          <c:spPr>
            <a:solidFill>
              <a:schemeClr val="accent2"/>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Calculations!$T$56:$T$103</c:f>
            </c:numRef>
          </c:val>
          <c:extLst>
            <c:ext xmlns:c16="http://schemas.microsoft.com/office/drawing/2014/chart" uri="{C3380CC4-5D6E-409C-BE32-E72D297353CC}">
              <c16:uniqueId val="{00000001-430F-4958-A29D-673A1D4372CD}"/>
            </c:ext>
          </c:extLst>
        </c:ser>
        <c:ser>
          <c:idx val="2"/>
          <c:order val="2"/>
          <c:spPr>
            <a:solidFill>
              <a:schemeClr val="accent3"/>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Calculations!$U$56:$U$103</c:f>
            </c:numRef>
          </c:val>
          <c:extLst>
            <c:ext xmlns:c16="http://schemas.microsoft.com/office/drawing/2014/chart" uri="{C3380CC4-5D6E-409C-BE32-E72D297353CC}">
              <c16:uniqueId val="{00000002-430F-4958-A29D-673A1D4372CD}"/>
            </c:ext>
          </c:extLst>
        </c:ser>
        <c:ser>
          <c:idx val="3"/>
          <c:order val="3"/>
          <c:spPr>
            <a:solidFill>
              <a:schemeClr val="accent4"/>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Calculations!$V$56:$V$103</c:f>
            </c:numRef>
          </c:val>
          <c:extLst>
            <c:ext xmlns:c16="http://schemas.microsoft.com/office/drawing/2014/chart" uri="{C3380CC4-5D6E-409C-BE32-E72D297353CC}">
              <c16:uniqueId val="{00000003-430F-4958-A29D-673A1D4372CD}"/>
            </c:ext>
          </c:extLst>
        </c:ser>
        <c:ser>
          <c:idx val="4"/>
          <c:order val="4"/>
          <c:spPr>
            <a:solidFill>
              <a:schemeClr val="accent3">
                <a:lumMod val="20000"/>
                <a:lumOff val="80000"/>
              </a:schemeClr>
            </a:solidFill>
            <a:ln>
              <a:noFill/>
            </a:ln>
            <a:effectLst/>
          </c:spPr>
          <c:invertIfNegative val="0"/>
          <c:dPt>
            <c:idx val="1"/>
            <c:invertIfNegative val="0"/>
            <c:bubble3D val="0"/>
            <c:spPr>
              <a:solidFill>
                <a:srgbClr val="FCC3B8"/>
              </a:solidFill>
              <a:ln>
                <a:noFill/>
              </a:ln>
              <a:effectLst/>
            </c:spPr>
            <c:extLst>
              <c:ext xmlns:c16="http://schemas.microsoft.com/office/drawing/2014/chart" uri="{C3380CC4-5D6E-409C-BE32-E72D297353CC}">
                <c16:uniqueId val="{0000000D-430F-4958-A29D-673A1D4372CD}"/>
              </c:ext>
            </c:extLst>
          </c:dPt>
          <c:dPt>
            <c:idx val="2"/>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10-430F-4958-A29D-673A1D4372CD}"/>
              </c:ext>
            </c:extLst>
          </c:dPt>
          <c:dPt>
            <c:idx val="5"/>
            <c:invertIfNegative val="0"/>
            <c:bubble3D val="0"/>
            <c:spPr>
              <a:solidFill>
                <a:srgbClr val="FFCAB9"/>
              </a:solidFill>
              <a:ln>
                <a:noFill/>
              </a:ln>
              <a:effectLst/>
            </c:spPr>
            <c:extLst>
              <c:ext xmlns:c16="http://schemas.microsoft.com/office/drawing/2014/chart" uri="{C3380CC4-5D6E-409C-BE32-E72D297353CC}">
                <c16:uniqueId val="{00000028-430F-4958-A29D-673A1D4372CD}"/>
              </c:ext>
            </c:extLst>
          </c:dPt>
          <c:dPt>
            <c:idx val="9"/>
            <c:invertIfNegative val="0"/>
            <c:bubble3D val="0"/>
            <c:spPr>
              <a:solidFill>
                <a:srgbClr val="FFCAB9"/>
              </a:solidFill>
              <a:ln>
                <a:noFill/>
              </a:ln>
              <a:effectLst/>
            </c:spPr>
            <c:extLst>
              <c:ext xmlns:c16="http://schemas.microsoft.com/office/drawing/2014/chart" uri="{C3380CC4-5D6E-409C-BE32-E72D297353CC}">
                <c16:uniqueId val="{00000029-430F-4958-A29D-673A1D4372CD}"/>
              </c:ext>
            </c:extLst>
          </c:dPt>
          <c:dPt>
            <c:idx val="13"/>
            <c:invertIfNegative val="0"/>
            <c:bubble3D val="0"/>
            <c:spPr>
              <a:solidFill>
                <a:srgbClr val="FFCAB9"/>
              </a:solidFill>
              <a:ln>
                <a:noFill/>
              </a:ln>
              <a:effectLst/>
            </c:spPr>
            <c:extLst>
              <c:ext xmlns:c16="http://schemas.microsoft.com/office/drawing/2014/chart" uri="{C3380CC4-5D6E-409C-BE32-E72D297353CC}">
                <c16:uniqueId val="{0000002A-430F-4958-A29D-673A1D4372CD}"/>
              </c:ext>
            </c:extLst>
          </c:dPt>
          <c:dPt>
            <c:idx val="17"/>
            <c:invertIfNegative val="0"/>
            <c:bubble3D val="0"/>
            <c:spPr>
              <a:solidFill>
                <a:srgbClr val="FFCAB9"/>
              </a:solidFill>
              <a:ln>
                <a:noFill/>
              </a:ln>
              <a:effectLst/>
            </c:spPr>
            <c:extLst>
              <c:ext xmlns:c16="http://schemas.microsoft.com/office/drawing/2014/chart" uri="{C3380CC4-5D6E-409C-BE32-E72D297353CC}">
                <c16:uniqueId val="{0000002B-430F-4958-A29D-673A1D4372CD}"/>
              </c:ext>
            </c:extLst>
          </c:dPt>
          <c:dPt>
            <c:idx val="21"/>
            <c:invertIfNegative val="0"/>
            <c:bubble3D val="0"/>
            <c:spPr>
              <a:solidFill>
                <a:srgbClr val="FFCAB9"/>
              </a:solidFill>
              <a:ln>
                <a:noFill/>
              </a:ln>
              <a:effectLst/>
            </c:spPr>
            <c:extLst>
              <c:ext xmlns:c16="http://schemas.microsoft.com/office/drawing/2014/chart" uri="{C3380CC4-5D6E-409C-BE32-E72D297353CC}">
                <c16:uniqueId val="{0000002D-430F-4958-A29D-673A1D4372CD}"/>
              </c:ext>
            </c:extLst>
          </c:dPt>
          <c:dPt>
            <c:idx val="25"/>
            <c:invertIfNegative val="0"/>
            <c:bubble3D val="0"/>
            <c:spPr>
              <a:solidFill>
                <a:srgbClr val="FFCAB9"/>
              </a:solidFill>
              <a:ln>
                <a:noFill/>
              </a:ln>
              <a:effectLst/>
            </c:spPr>
            <c:extLst>
              <c:ext xmlns:c16="http://schemas.microsoft.com/office/drawing/2014/chart" uri="{C3380CC4-5D6E-409C-BE32-E72D297353CC}">
                <c16:uniqueId val="{0000002E-430F-4958-A29D-673A1D4372CD}"/>
              </c:ext>
            </c:extLst>
          </c:dPt>
          <c:dPt>
            <c:idx val="29"/>
            <c:invertIfNegative val="0"/>
            <c:bubble3D val="0"/>
            <c:spPr>
              <a:solidFill>
                <a:srgbClr val="FFCAB9"/>
              </a:solidFill>
              <a:ln>
                <a:noFill/>
              </a:ln>
              <a:effectLst/>
            </c:spPr>
            <c:extLst>
              <c:ext xmlns:c16="http://schemas.microsoft.com/office/drawing/2014/chart" uri="{C3380CC4-5D6E-409C-BE32-E72D297353CC}">
                <c16:uniqueId val="{0000002F-430F-4958-A29D-673A1D4372CD}"/>
              </c:ext>
            </c:extLst>
          </c:dPt>
          <c:dPt>
            <c:idx val="33"/>
            <c:invertIfNegative val="0"/>
            <c:bubble3D val="0"/>
            <c:spPr>
              <a:solidFill>
                <a:srgbClr val="FFCAB9"/>
              </a:solidFill>
              <a:ln>
                <a:noFill/>
              </a:ln>
              <a:effectLst/>
            </c:spPr>
            <c:extLst>
              <c:ext xmlns:c16="http://schemas.microsoft.com/office/drawing/2014/chart" uri="{C3380CC4-5D6E-409C-BE32-E72D297353CC}">
                <c16:uniqueId val="{00000030-430F-4958-A29D-673A1D4372CD}"/>
              </c:ext>
            </c:extLst>
          </c:dPt>
          <c:dPt>
            <c:idx val="37"/>
            <c:invertIfNegative val="0"/>
            <c:bubble3D val="0"/>
            <c:spPr>
              <a:solidFill>
                <a:srgbClr val="FFCAB9"/>
              </a:solidFill>
              <a:ln>
                <a:noFill/>
              </a:ln>
              <a:effectLst/>
            </c:spPr>
            <c:extLst>
              <c:ext xmlns:c16="http://schemas.microsoft.com/office/drawing/2014/chart" uri="{C3380CC4-5D6E-409C-BE32-E72D297353CC}">
                <c16:uniqueId val="{00000031-430F-4958-A29D-673A1D4372CD}"/>
              </c:ext>
            </c:extLst>
          </c:dPt>
          <c:dPt>
            <c:idx val="41"/>
            <c:invertIfNegative val="0"/>
            <c:bubble3D val="0"/>
            <c:spPr>
              <a:solidFill>
                <a:srgbClr val="FFCAB9"/>
              </a:solidFill>
              <a:ln>
                <a:noFill/>
              </a:ln>
              <a:effectLst/>
            </c:spPr>
            <c:extLst>
              <c:ext xmlns:c16="http://schemas.microsoft.com/office/drawing/2014/chart" uri="{C3380CC4-5D6E-409C-BE32-E72D297353CC}">
                <c16:uniqueId val="{00000032-430F-4958-A29D-673A1D4372CD}"/>
              </c:ext>
            </c:extLst>
          </c:dPt>
          <c:dPt>
            <c:idx val="45"/>
            <c:invertIfNegative val="0"/>
            <c:bubble3D val="0"/>
            <c:spPr>
              <a:solidFill>
                <a:srgbClr val="FFCAB9"/>
              </a:solidFill>
              <a:ln>
                <a:noFill/>
              </a:ln>
              <a:effectLst/>
            </c:spPr>
            <c:extLst>
              <c:ext xmlns:c16="http://schemas.microsoft.com/office/drawing/2014/chart" uri="{C3380CC4-5D6E-409C-BE32-E72D297353CC}">
                <c16:uniqueId val="{00000033-430F-4958-A29D-673A1D4372CD}"/>
              </c:ext>
            </c:extLst>
          </c:dPt>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Calculations!$W$56:$W$103</c:f>
              <c:numCache>
                <c:formatCode>General</c:formatCode>
                <c:ptCount val="48"/>
                <c:pt idx="0">
                  <c:v>3500</c:v>
                </c:pt>
                <c:pt idx="1">
                  <c:v>1725</c:v>
                </c:pt>
                <c:pt idx="2">
                  <c:v>1500</c:v>
                </c:pt>
                <c:pt idx="4">
                  <c:v>2500</c:v>
                </c:pt>
                <c:pt idx="5">
                  <c:v>1545</c:v>
                </c:pt>
                <c:pt idx="6">
                  <c:v>1500</c:v>
                </c:pt>
                <c:pt idx="8">
                  <c:v>2500</c:v>
                </c:pt>
                <c:pt idx="9">
                  <c:v>1895</c:v>
                </c:pt>
                <c:pt idx="10">
                  <c:v>1500</c:v>
                </c:pt>
                <c:pt idx="12">
                  <c:v>2500</c:v>
                </c:pt>
                <c:pt idx="13">
                  <c:v>1895</c:v>
                </c:pt>
                <c:pt idx="14">
                  <c:v>500</c:v>
                </c:pt>
                <c:pt idx="16">
                  <c:v>2500</c:v>
                </c:pt>
                <c:pt idx="17">
                  <c:v>1895</c:v>
                </c:pt>
                <c:pt idx="18">
                  <c:v>500</c:v>
                </c:pt>
                <c:pt idx="20">
                  <c:v>2500</c:v>
                </c:pt>
                <c:pt idx="21">
                  <c:v>1895</c:v>
                </c:pt>
                <c:pt idx="22">
                  <c:v>600</c:v>
                </c:pt>
                <c:pt idx="24">
                  <c:v>2500</c:v>
                </c:pt>
                <c:pt idx="25">
                  <c:v>1895</c:v>
                </c:pt>
                <c:pt idx="26">
                  <c:v>500</c:v>
                </c:pt>
                <c:pt idx="28">
                  <c:v>2500</c:v>
                </c:pt>
                <c:pt idx="29">
                  <c:v>1895</c:v>
                </c:pt>
                <c:pt idx="30">
                  <c:v>500</c:v>
                </c:pt>
                <c:pt idx="32">
                  <c:v>2500</c:v>
                </c:pt>
                <c:pt idx="33">
                  <c:v>1895</c:v>
                </c:pt>
                <c:pt idx="34">
                  <c:v>500</c:v>
                </c:pt>
                <c:pt idx="36">
                  <c:v>2500</c:v>
                </c:pt>
                <c:pt idx="37">
                  <c:v>1895</c:v>
                </c:pt>
                <c:pt idx="38">
                  <c:v>500</c:v>
                </c:pt>
                <c:pt idx="40">
                  <c:v>2500</c:v>
                </c:pt>
                <c:pt idx="41">
                  <c:v>1895</c:v>
                </c:pt>
                <c:pt idx="42">
                  <c:v>500</c:v>
                </c:pt>
                <c:pt idx="44">
                  <c:v>2500</c:v>
                </c:pt>
                <c:pt idx="45">
                  <c:v>1895</c:v>
                </c:pt>
                <c:pt idx="46">
                  <c:v>500</c:v>
                </c:pt>
              </c:numCache>
            </c:numRef>
          </c:val>
          <c:extLst>
            <c:ext xmlns:c16="http://schemas.microsoft.com/office/drawing/2014/chart" uri="{C3380CC4-5D6E-409C-BE32-E72D297353CC}">
              <c16:uniqueId val="{00000004-430F-4958-A29D-673A1D4372CD}"/>
            </c:ext>
          </c:extLst>
        </c:ser>
        <c:ser>
          <c:idx val="5"/>
          <c:order val="5"/>
          <c:spPr>
            <a:solidFill>
              <a:schemeClr val="accent3">
                <a:lumMod val="75000"/>
              </a:schemeClr>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7A-BC58-4FC1-9D3D-6A5CAFCC0C50}"/>
              </c:ext>
            </c:extLst>
          </c:dPt>
          <c:dPt>
            <c:idx val="1"/>
            <c:invertIfNegative val="0"/>
            <c:bubble3D val="0"/>
            <c:spPr>
              <a:solidFill>
                <a:srgbClr val="C00000"/>
              </a:solidFill>
              <a:ln>
                <a:noFill/>
              </a:ln>
              <a:effectLst/>
            </c:spPr>
            <c:extLst>
              <c:ext xmlns:c16="http://schemas.microsoft.com/office/drawing/2014/chart" uri="{C3380CC4-5D6E-409C-BE32-E72D297353CC}">
                <c16:uniqueId val="{0000000E-430F-4958-A29D-673A1D4372CD}"/>
              </c:ext>
            </c:extLst>
          </c:dPt>
          <c:dPt>
            <c:idx val="2"/>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11-430F-4958-A29D-673A1D4372CD}"/>
              </c:ext>
            </c:extLst>
          </c:dPt>
          <c:dPt>
            <c:idx val="4"/>
            <c:invertIfNegative val="0"/>
            <c:bubble3D val="0"/>
            <c:spPr>
              <a:solidFill>
                <a:srgbClr val="00B050"/>
              </a:solidFill>
              <a:ln>
                <a:noFill/>
              </a:ln>
              <a:effectLst/>
            </c:spPr>
            <c:extLst>
              <c:ext xmlns:c16="http://schemas.microsoft.com/office/drawing/2014/chart" uri="{C3380CC4-5D6E-409C-BE32-E72D297353CC}">
                <c16:uniqueId val="{0000007B-BC58-4FC1-9D3D-6A5CAFCC0C50}"/>
              </c:ext>
            </c:extLst>
          </c:dPt>
          <c:dPt>
            <c:idx val="5"/>
            <c:invertIfNegative val="0"/>
            <c:bubble3D val="0"/>
            <c:spPr>
              <a:solidFill>
                <a:srgbClr val="C00000"/>
              </a:solidFill>
              <a:ln>
                <a:noFill/>
              </a:ln>
              <a:effectLst/>
            </c:spPr>
            <c:extLst>
              <c:ext xmlns:c16="http://schemas.microsoft.com/office/drawing/2014/chart" uri="{C3380CC4-5D6E-409C-BE32-E72D297353CC}">
                <c16:uniqueId val="{00000034-430F-4958-A29D-673A1D4372CD}"/>
              </c:ext>
            </c:extLst>
          </c:dPt>
          <c:dPt>
            <c:idx val="6"/>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3F-430F-4958-A29D-673A1D4372CD}"/>
              </c:ext>
            </c:extLst>
          </c:dPt>
          <c:dPt>
            <c:idx val="8"/>
            <c:invertIfNegative val="0"/>
            <c:bubble3D val="0"/>
            <c:spPr>
              <a:solidFill>
                <a:srgbClr val="00B050"/>
              </a:solidFill>
              <a:ln>
                <a:noFill/>
              </a:ln>
              <a:effectLst/>
            </c:spPr>
            <c:extLst>
              <c:ext xmlns:c16="http://schemas.microsoft.com/office/drawing/2014/chart" uri="{C3380CC4-5D6E-409C-BE32-E72D297353CC}">
                <c16:uniqueId val="{0000007C-BC58-4FC1-9D3D-6A5CAFCC0C50}"/>
              </c:ext>
            </c:extLst>
          </c:dPt>
          <c:dPt>
            <c:idx val="9"/>
            <c:invertIfNegative val="0"/>
            <c:bubble3D val="0"/>
            <c:spPr>
              <a:solidFill>
                <a:srgbClr val="C00000"/>
              </a:solidFill>
              <a:ln>
                <a:noFill/>
              </a:ln>
              <a:effectLst/>
            </c:spPr>
            <c:extLst>
              <c:ext xmlns:c16="http://schemas.microsoft.com/office/drawing/2014/chart" uri="{C3380CC4-5D6E-409C-BE32-E72D297353CC}">
                <c16:uniqueId val="{00000035-430F-4958-A29D-673A1D4372CD}"/>
              </c:ext>
            </c:extLst>
          </c:dPt>
          <c:dPt>
            <c:idx val="10"/>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40-430F-4958-A29D-673A1D4372CD}"/>
              </c:ext>
            </c:extLst>
          </c:dPt>
          <c:dPt>
            <c:idx val="12"/>
            <c:invertIfNegative val="0"/>
            <c:bubble3D val="0"/>
            <c:spPr>
              <a:solidFill>
                <a:srgbClr val="00B050"/>
              </a:solidFill>
              <a:ln>
                <a:noFill/>
              </a:ln>
              <a:effectLst/>
            </c:spPr>
            <c:extLst>
              <c:ext xmlns:c16="http://schemas.microsoft.com/office/drawing/2014/chart" uri="{C3380CC4-5D6E-409C-BE32-E72D297353CC}">
                <c16:uniqueId val="{0000007D-BC58-4FC1-9D3D-6A5CAFCC0C50}"/>
              </c:ext>
            </c:extLst>
          </c:dPt>
          <c:dPt>
            <c:idx val="13"/>
            <c:invertIfNegative val="0"/>
            <c:bubble3D val="0"/>
            <c:spPr>
              <a:solidFill>
                <a:srgbClr val="C00000"/>
              </a:solidFill>
              <a:ln>
                <a:noFill/>
              </a:ln>
              <a:effectLst/>
            </c:spPr>
            <c:extLst>
              <c:ext xmlns:c16="http://schemas.microsoft.com/office/drawing/2014/chart" uri="{C3380CC4-5D6E-409C-BE32-E72D297353CC}">
                <c16:uniqueId val="{00000036-430F-4958-A29D-673A1D4372CD}"/>
              </c:ext>
            </c:extLst>
          </c:dPt>
          <c:dPt>
            <c:idx val="14"/>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41-430F-4958-A29D-673A1D4372CD}"/>
              </c:ext>
            </c:extLst>
          </c:dPt>
          <c:dPt>
            <c:idx val="16"/>
            <c:invertIfNegative val="0"/>
            <c:bubble3D val="0"/>
            <c:spPr>
              <a:solidFill>
                <a:srgbClr val="00B050"/>
              </a:solidFill>
              <a:ln>
                <a:noFill/>
              </a:ln>
              <a:effectLst/>
            </c:spPr>
            <c:extLst>
              <c:ext xmlns:c16="http://schemas.microsoft.com/office/drawing/2014/chart" uri="{C3380CC4-5D6E-409C-BE32-E72D297353CC}">
                <c16:uniqueId val="{0000007E-BC58-4FC1-9D3D-6A5CAFCC0C50}"/>
              </c:ext>
            </c:extLst>
          </c:dPt>
          <c:dPt>
            <c:idx val="17"/>
            <c:invertIfNegative val="0"/>
            <c:bubble3D val="0"/>
            <c:spPr>
              <a:solidFill>
                <a:srgbClr val="C00000"/>
              </a:solidFill>
              <a:ln>
                <a:noFill/>
              </a:ln>
              <a:effectLst/>
            </c:spPr>
            <c:extLst>
              <c:ext xmlns:c16="http://schemas.microsoft.com/office/drawing/2014/chart" uri="{C3380CC4-5D6E-409C-BE32-E72D297353CC}">
                <c16:uniqueId val="{00000037-430F-4958-A29D-673A1D4372CD}"/>
              </c:ext>
            </c:extLst>
          </c:dPt>
          <c:dPt>
            <c:idx val="18"/>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42-430F-4958-A29D-673A1D4372CD}"/>
              </c:ext>
            </c:extLst>
          </c:dPt>
          <c:dPt>
            <c:idx val="20"/>
            <c:invertIfNegative val="0"/>
            <c:bubble3D val="0"/>
            <c:spPr>
              <a:solidFill>
                <a:srgbClr val="00B050"/>
              </a:solidFill>
              <a:ln>
                <a:noFill/>
              </a:ln>
              <a:effectLst/>
            </c:spPr>
            <c:extLst>
              <c:ext xmlns:c16="http://schemas.microsoft.com/office/drawing/2014/chart" uri="{C3380CC4-5D6E-409C-BE32-E72D297353CC}">
                <c16:uniqueId val="{0000007F-BC58-4FC1-9D3D-6A5CAFCC0C50}"/>
              </c:ext>
            </c:extLst>
          </c:dPt>
          <c:dPt>
            <c:idx val="21"/>
            <c:invertIfNegative val="0"/>
            <c:bubble3D val="0"/>
            <c:spPr>
              <a:solidFill>
                <a:srgbClr val="C00000"/>
              </a:solidFill>
              <a:ln>
                <a:noFill/>
              </a:ln>
              <a:effectLst/>
            </c:spPr>
            <c:extLst>
              <c:ext xmlns:c16="http://schemas.microsoft.com/office/drawing/2014/chart" uri="{C3380CC4-5D6E-409C-BE32-E72D297353CC}">
                <c16:uniqueId val="{00000038-430F-4958-A29D-673A1D4372CD}"/>
              </c:ext>
            </c:extLst>
          </c:dPt>
          <c:dPt>
            <c:idx val="22"/>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43-430F-4958-A29D-673A1D4372CD}"/>
              </c:ext>
            </c:extLst>
          </c:dPt>
          <c:dPt>
            <c:idx val="24"/>
            <c:invertIfNegative val="0"/>
            <c:bubble3D val="0"/>
            <c:spPr>
              <a:solidFill>
                <a:srgbClr val="00B050"/>
              </a:solidFill>
              <a:ln>
                <a:noFill/>
              </a:ln>
              <a:effectLst/>
            </c:spPr>
            <c:extLst>
              <c:ext xmlns:c16="http://schemas.microsoft.com/office/drawing/2014/chart" uri="{C3380CC4-5D6E-409C-BE32-E72D297353CC}">
                <c16:uniqueId val="{00000080-BC58-4FC1-9D3D-6A5CAFCC0C50}"/>
              </c:ext>
            </c:extLst>
          </c:dPt>
          <c:dPt>
            <c:idx val="25"/>
            <c:invertIfNegative val="0"/>
            <c:bubble3D val="0"/>
            <c:spPr>
              <a:solidFill>
                <a:srgbClr val="C00000"/>
              </a:solidFill>
              <a:ln>
                <a:noFill/>
              </a:ln>
              <a:effectLst/>
            </c:spPr>
            <c:extLst>
              <c:ext xmlns:c16="http://schemas.microsoft.com/office/drawing/2014/chart" uri="{C3380CC4-5D6E-409C-BE32-E72D297353CC}">
                <c16:uniqueId val="{00000039-430F-4958-A29D-673A1D4372CD}"/>
              </c:ext>
            </c:extLst>
          </c:dPt>
          <c:dPt>
            <c:idx val="26"/>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44-430F-4958-A29D-673A1D4372CD}"/>
              </c:ext>
            </c:extLst>
          </c:dPt>
          <c:dPt>
            <c:idx val="28"/>
            <c:invertIfNegative val="0"/>
            <c:bubble3D val="0"/>
            <c:spPr>
              <a:solidFill>
                <a:srgbClr val="00B050"/>
              </a:solidFill>
              <a:ln>
                <a:noFill/>
              </a:ln>
              <a:effectLst/>
            </c:spPr>
            <c:extLst>
              <c:ext xmlns:c16="http://schemas.microsoft.com/office/drawing/2014/chart" uri="{C3380CC4-5D6E-409C-BE32-E72D297353CC}">
                <c16:uniqueId val="{00000081-BC58-4FC1-9D3D-6A5CAFCC0C50}"/>
              </c:ext>
            </c:extLst>
          </c:dPt>
          <c:dPt>
            <c:idx val="29"/>
            <c:invertIfNegative val="0"/>
            <c:bubble3D val="0"/>
            <c:spPr>
              <a:solidFill>
                <a:srgbClr val="C00000"/>
              </a:solidFill>
              <a:ln>
                <a:noFill/>
              </a:ln>
              <a:effectLst/>
            </c:spPr>
            <c:extLst>
              <c:ext xmlns:c16="http://schemas.microsoft.com/office/drawing/2014/chart" uri="{C3380CC4-5D6E-409C-BE32-E72D297353CC}">
                <c16:uniqueId val="{0000003A-430F-4958-A29D-673A1D4372CD}"/>
              </c:ext>
            </c:extLst>
          </c:dPt>
          <c:dPt>
            <c:idx val="30"/>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45-430F-4958-A29D-673A1D4372CD}"/>
              </c:ext>
            </c:extLst>
          </c:dPt>
          <c:dPt>
            <c:idx val="32"/>
            <c:invertIfNegative val="0"/>
            <c:bubble3D val="0"/>
            <c:spPr>
              <a:solidFill>
                <a:srgbClr val="00B050"/>
              </a:solidFill>
              <a:ln>
                <a:noFill/>
              </a:ln>
              <a:effectLst/>
            </c:spPr>
            <c:extLst>
              <c:ext xmlns:c16="http://schemas.microsoft.com/office/drawing/2014/chart" uri="{C3380CC4-5D6E-409C-BE32-E72D297353CC}">
                <c16:uniqueId val="{00000082-BC58-4FC1-9D3D-6A5CAFCC0C50}"/>
              </c:ext>
            </c:extLst>
          </c:dPt>
          <c:dPt>
            <c:idx val="33"/>
            <c:invertIfNegative val="0"/>
            <c:bubble3D val="0"/>
            <c:spPr>
              <a:solidFill>
                <a:srgbClr val="C00000"/>
              </a:solidFill>
              <a:ln>
                <a:noFill/>
              </a:ln>
              <a:effectLst/>
            </c:spPr>
            <c:extLst>
              <c:ext xmlns:c16="http://schemas.microsoft.com/office/drawing/2014/chart" uri="{C3380CC4-5D6E-409C-BE32-E72D297353CC}">
                <c16:uniqueId val="{0000003B-430F-4958-A29D-673A1D4372CD}"/>
              </c:ext>
            </c:extLst>
          </c:dPt>
          <c:dPt>
            <c:idx val="34"/>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46-430F-4958-A29D-673A1D4372CD}"/>
              </c:ext>
            </c:extLst>
          </c:dPt>
          <c:dPt>
            <c:idx val="36"/>
            <c:invertIfNegative val="0"/>
            <c:bubble3D val="0"/>
            <c:spPr>
              <a:solidFill>
                <a:srgbClr val="00B050"/>
              </a:solidFill>
              <a:ln>
                <a:noFill/>
              </a:ln>
              <a:effectLst/>
            </c:spPr>
            <c:extLst>
              <c:ext xmlns:c16="http://schemas.microsoft.com/office/drawing/2014/chart" uri="{C3380CC4-5D6E-409C-BE32-E72D297353CC}">
                <c16:uniqueId val="{00000084-BC58-4FC1-9D3D-6A5CAFCC0C50}"/>
              </c:ext>
            </c:extLst>
          </c:dPt>
          <c:dPt>
            <c:idx val="37"/>
            <c:invertIfNegative val="0"/>
            <c:bubble3D val="0"/>
            <c:spPr>
              <a:solidFill>
                <a:srgbClr val="C00000"/>
              </a:solidFill>
              <a:ln>
                <a:noFill/>
              </a:ln>
              <a:effectLst/>
            </c:spPr>
            <c:extLst>
              <c:ext xmlns:c16="http://schemas.microsoft.com/office/drawing/2014/chart" uri="{C3380CC4-5D6E-409C-BE32-E72D297353CC}">
                <c16:uniqueId val="{0000003C-430F-4958-A29D-673A1D4372CD}"/>
              </c:ext>
            </c:extLst>
          </c:dPt>
          <c:dPt>
            <c:idx val="38"/>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47-430F-4958-A29D-673A1D4372CD}"/>
              </c:ext>
            </c:extLst>
          </c:dPt>
          <c:dPt>
            <c:idx val="40"/>
            <c:invertIfNegative val="0"/>
            <c:bubble3D val="0"/>
            <c:spPr>
              <a:solidFill>
                <a:srgbClr val="00B050"/>
              </a:solidFill>
              <a:ln>
                <a:noFill/>
              </a:ln>
              <a:effectLst/>
            </c:spPr>
            <c:extLst>
              <c:ext xmlns:c16="http://schemas.microsoft.com/office/drawing/2014/chart" uri="{C3380CC4-5D6E-409C-BE32-E72D297353CC}">
                <c16:uniqueId val="{00000083-BC58-4FC1-9D3D-6A5CAFCC0C50}"/>
              </c:ext>
            </c:extLst>
          </c:dPt>
          <c:dPt>
            <c:idx val="41"/>
            <c:invertIfNegative val="0"/>
            <c:bubble3D val="0"/>
            <c:spPr>
              <a:solidFill>
                <a:srgbClr val="C00000"/>
              </a:solidFill>
              <a:ln>
                <a:noFill/>
              </a:ln>
              <a:effectLst/>
            </c:spPr>
            <c:extLst>
              <c:ext xmlns:c16="http://schemas.microsoft.com/office/drawing/2014/chart" uri="{C3380CC4-5D6E-409C-BE32-E72D297353CC}">
                <c16:uniqueId val="{0000003D-430F-4958-A29D-673A1D4372CD}"/>
              </c:ext>
            </c:extLst>
          </c:dPt>
          <c:dPt>
            <c:idx val="42"/>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48-430F-4958-A29D-673A1D4372CD}"/>
              </c:ext>
            </c:extLst>
          </c:dPt>
          <c:dPt>
            <c:idx val="44"/>
            <c:invertIfNegative val="0"/>
            <c:bubble3D val="0"/>
            <c:spPr>
              <a:solidFill>
                <a:srgbClr val="00B050"/>
              </a:solidFill>
              <a:ln>
                <a:noFill/>
              </a:ln>
              <a:effectLst/>
            </c:spPr>
            <c:extLst>
              <c:ext xmlns:c16="http://schemas.microsoft.com/office/drawing/2014/chart" uri="{C3380CC4-5D6E-409C-BE32-E72D297353CC}">
                <c16:uniqueId val="{00000085-BC58-4FC1-9D3D-6A5CAFCC0C50}"/>
              </c:ext>
            </c:extLst>
          </c:dPt>
          <c:dPt>
            <c:idx val="45"/>
            <c:invertIfNegative val="0"/>
            <c:bubble3D val="0"/>
            <c:spPr>
              <a:solidFill>
                <a:srgbClr val="C00000"/>
              </a:solidFill>
              <a:ln>
                <a:noFill/>
              </a:ln>
              <a:effectLst/>
            </c:spPr>
            <c:extLst>
              <c:ext xmlns:c16="http://schemas.microsoft.com/office/drawing/2014/chart" uri="{C3380CC4-5D6E-409C-BE32-E72D297353CC}">
                <c16:uniqueId val="{0000003E-430F-4958-A29D-673A1D4372CD}"/>
              </c:ext>
            </c:extLst>
          </c:dPt>
          <c:dPt>
            <c:idx val="46"/>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49-430F-4958-A29D-673A1D4372CD}"/>
              </c:ext>
            </c:extLst>
          </c:dPt>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Calculations!$X$56:$X$103</c:f>
              <c:numCache>
                <c:formatCode>_-* #,##0_-;\-* #,##0_-;_-*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05-430F-4958-A29D-673A1D4372CD}"/>
            </c:ext>
          </c:extLst>
        </c:ser>
        <c:ser>
          <c:idx val="6"/>
          <c:order val="6"/>
          <c:spPr>
            <a:solidFill>
              <a:srgbClr val="D3D3D3"/>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Calculations!$Y$56:$Y$103</c:f>
              <c:numCache>
                <c:formatCode>General</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06-430F-4958-A29D-673A1D4372CD}"/>
            </c:ext>
          </c:extLst>
        </c:ser>
        <c:ser>
          <c:idx val="7"/>
          <c:order val="7"/>
          <c:spPr>
            <a:solidFill>
              <a:schemeClr val="accent2">
                <a:lumMod val="60000"/>
              </a:schemeClr>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Calculations!$Z$56:$Z$103</c:f>
            </c:numRef>
          </c:val>
          <c:extLst>
            <c:ext xmlns:c16="http://schemas.microsoft.com/office/drawing/2014/chart" uri="{C3380CC4-5D6E-409C-BE32-E72D297353CC}">
              <c16:uniqueId val="{00000007-430F-4958-A29D-673A1D4372CD}"/>
            </c:ext>
          </c:extLst>
        </c:ser>
        <c:ser>
          <c:idx val="8"/>
          <c:order val="8"/>
          <c:spPr>
            <a:solidFill>
              <a:schemeClr val="accent3">
                <a:lumMod val="60000"/>
              </a:schemeClr>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Calculations!$AA$56:$AA$103</c:f>
            </c:numRef>
          </c:val>
          <c:extLst>
            <c:ext xmlns:c16="http://schemas.microsoft.com/office/drawing/2014/chart" uri="{C3380CC4-5D6E-409C-BE32-E72D297353CC}">
              <c16:uniqueId val="{00000008-430F-4958-A29D-673A1D4372CD}"/>
            </c:ext>
          </c:extLst>
        </c:ser>
        <c:ser>
          <c:idx val="9"/>
          <c:order val="9"/>
          <c:spPr>
            <a:solidFill>
              <a:schemeClr val="accent4">
                <a:lumMod val="60000"/>
              </a:schemeClr>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Calculations!$AB$56:$AB$103</c:f>
            </c:numRef>
          </c:val>
          <c:extLst>
            <c:ext xmlns:c16="http://schemas.microsoft.com/office/drawing/2014/chart" uri="{C3380CC4-5D6E-409C-BE32-E72D297353CC}">
              <c16:uniqueId val="{00000009-430F-4958-A29D-673A1D4372CD}"/>
            </c:ext>
          </c:extLst>
        </c:ser>
        <c:ser>
          <c:idx val="10"/>
          <c:order val="10"/>
          <c:spPr>
            <a:solidFill>
              <a:schemeClr val="bg1">
                <a:lumMod val="95000"/>
              </a:schemeClr>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Calculations!$AC$56:$AC$103</c:f>
              <c:numCache>
                <c:formatCode>General</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0A-430F-4958-A29D-673A1D4372CD}"/>
            </c:ext>
          </c:extLst>
        </c:ser>
        <c:ser>
          <c:idx val="11"/>
          <c:order val="11"/>
          <c:spPr>
            <a:solidFill>
              <a:schemeClr val="bg1">
                <a:lumMod val="85000"/>
              </a:schemeClr>
            </a:solidFill>
            <a:ln>
              <a:noFill/>
            </a:ln>
            <a:effectLst/>
          </c:spPr>
          <c:invertIfNegative val="0"/>
          <c:cat>
            <c:numRef>
              <c:f>Calculations!$D$56:$D$103</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Calculations!$AD$56:$AD$103</c:f>
              <c:numCache>
                <c:formatCode>_-* #,##0_-;\-* #,##0_-;_-*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0B-430F-4958-A29D-673A1D4372CD}"/>
            </c:ext>
          </c:extLst>
        </c:ser>
        <c:dLbls>
          <c:showLegendKey val="0"/>
          <c:showVal val="0"/>
          <c:showCatName val="0"/>
          <c:showSerName val="0"/>
          <c:showPercent val="0"/>
          <c:showBubbleSize val="0"/>
        </c:dLbls>
        <c:gapWidth val="21"/>
        <c:overlap val="100"/>
        <c:axId val="1498513616"/>
        <c:axId val="1498514096"/>
      </c:barChart>
      <c:catAx>
        <c:axId val="1498513616"/>
        <c:scaling>
          <c:orientation val="minMax"/>
        </c:scaling>
        <c:delete val="0"/>
        <c:axPos val="b"/>
        <c:numFmt formatCode="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514096"/>
        <c:crosses val="autoZero"/>
        <c:auto val="0"/>
        <c:lblAlgn val="ctr"/>
        <c:lblOffset val="100"/>
        <c:noMultiLvlLbl val="0"/>
      </c:catAx>
      <c:valAx>
        <c:axId val="1498514096"/>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51361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E$50" lockText="1" noThreeD="1"/>
</file>

<file path=xl/ctrlProps/ctrlProp2.xml><?xml version="1.0" encoding="utf-8"?>
<formControlPr xmlns="http://schemas.microsoft.com/office/spreadsheetml/2009/9/main" objectType="CheckBox" checked="Checked" fmlaLink="Calculations!$E$52" lockText="1" noThreeD="1"/>
</file>

<file path=xl/ctrlProps/ctrlProp3.xml><?xml version="1.0" encoding="utf-8"?>
<formControlPr xmlns="http://schemas.microsoft.com/office/spreadsheetml/2009/9/main" objectType="CheckBox" checked="Checked" fmlaLink="Calculations!$E$51" lockText="1" noThreeD="1"/>
</file>

<file path=xl/ctrlProps/ctrlProp4.xml><?xml version="1.0" encoding="utf-8"?>
<formControlPr xmlns="http://schemas.microsoft.com/office/spreadsheetml/2009/9/main" objectType="CheckBox" checked="Checked" fmlaLink="Calculations!$E$53"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2</xdr:col>
      <xdr:colOff>17930</xdr:colOff>
      <xdr:row>4</xdr:row>
      <xdr:rowOff>125506</xdr:rowOff>
    </xdr:from>
    <xdr:to>
      <xdr:col>3</xdr:col>
      <xdr:colOff>591670</xdr:colOff>
      <xdr:row>10</xdr:row>
      <xdr:rowOff>147530</xdr:rowOff>
    </xdr:to>
    <xdr:grpSp>
      <xdr:nvGrpSpPr>
        <xdr:cNvPr id="18" name="Group 17">
          <a:extLst>
            <a:ext uri="{FF2B5EF4-FFF2-40B4-BE49-F238E27FC236}">
              <a16:creationId xmlns:a16="http://schemas.microsoft.com/office/drawing/2014/main" id="{00000000-0008-0000-0200-000012000000}"/>
            </a:ext>
          </a:extLst>
        </xdr:cNvPr>
        <xdr:cNvGrpSpPr/>
      </xdr:nvGrpSpPr>
      <xdr:grpSpPr>
        <a:xfrm>
          <a:off x="1199458" y="973124"/>
          <a:ext cx="1780954" cy="1100810"/>
          <a:chOff x="1204473" y="983556"/>
          <a:chExt cx="1782054" cy="1132367"/>
        </a:xfrm>
      </xdr:grpSpPr>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204473" y="983556"/>
            <a:ext cx="1782054" cy="1132367"/>
          </a:xfrm>
          <a:prstGeom prst="roundRect">
            <a:avLst>
              <a:gd name="adj" fmla="val 0"/>
            </a:avLst>
          </a:prstGeom>
          <a:solidFill>
            <a:schemeClr val="bg1"/>
          </a:solidFill>
          <a:ln w="6350">
            <a:solidFill>
              <a:schemeClr val="bg1">
                <a:lumMod val="75000"/>
              </a:schemeClr>
            </a:solidFill>
          </a:ln>
          <a:effectLst>
            <a:outerShdw blurRad="825500" dist="127000" dir="5400000" sx="95000" sy="95000" algn="tl"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267226" y="1141720"/>
            <a:ext cx="1620690" cy="343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l"/>
            <a:r>
              <a:rPr lang="en-CA" sz="1100" b="1"/>
              <a:t>Date of Today</a:t>
            </a:r>
          </a:p>
        </xdr:txBody>
      </xdr:sp>
      <xdr:sp macro="" textlink="Calculations!E6">
        <xdr:nvSpPr>
          <xdr:cNvPr id="4" name="TextBox 3">
            <a:extLst>
              <a:ext uri="{FF2B5EF4-FFF2-40B4-BE49-F238E27FC236}">
                <a16:creationId xmlns:a16="http://schemas.microsoft.com/office/drawing/2014/main" id="{00000000-0008-0000-0200-000004000000}"/>
              </a:ext>
            </a:extLst>
          </xdr:cNvPr>
          <xdr:cNvSpPr txBox="1"/>
        </xdr:nvSpPr>
        <xdr:spPr>
          <a:xfrm>
            <a:off x="1276190" y="1520798"/>
            <a:ext cx="1441395" cy="280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F2DB538-0ADE-42E6-A159-1159DE70874C}" type="TxLink">
              <a:rPr lang="en-US" sz="1100" b="1" i="0" u="none" strike="noStrike">
                <a:solidFill>
                  <a:srgbClr val="000000"/>
                </a:solidFill>
                <a:latin typeface="Aptos Narrow"/>
              </a:rPr>
              <a:pPr/>
              <a:t>3-Oct-24</a:t>
            </a:fld>
            <a:endParaRPr lang="en-CA" sz="1100" b="1"/>
          </a:p>
        </xdr:txBody>
      </xdr:sp>
    </xdr:grpSp>
    <xdr:clientData/>
  </xdr:twoCellAnchor>
  <xdr:twoCellAnchor editAs="absolute">
    <xdr:from>
      <xdr:col>3</xdr:col>
      <xdr:colOff>986117</xdr:colOff>
      <xdr:row>4</xdr:row>
      <xdr:rowOff>125506</xdr:rowOff>
    </xdr:from>
    <xdr:to>
      <xdr:col>5</xdr:col>
      <xdr:colOff>242048</xdr:colOff>
      <xdr:row>10</xdr:row>
      <xdr:rowOff>147530</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3374859" y="973124"/>
          <a:ext cx="2089886" cy="1100810"/>
          <a:chOff x="3380974" y="974592"/>
          <a:chExt cx="2097103" cy="1132367"/>
        </a:xfrm>
      </xdr:grpSpPr>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3380974" y="974592"/>
            <a:ext cx="2097103" cy="1132367"/>
          </a:xfrm>
          <a:prstGeom prst="roundRect">
            <a:avLst>
              <a:gd name="adj" fmla="val 0"/>
            </a:avLst>
          </a:prstGeom>
          <a:solidFill>
            <a:schemeClr val="bg1"/>
          </a:solidFill>
          <a:ln w="6350">
            <a:solidFill>
              <a:schemeClr val="bg1">
                <a:lumMod val="75000"/>
              </a:schemeClr>
            </a:solidFill>
          </a:ln>
          <a:effectLst>
            <a:outerShdw blurRad="825500" dist="127000" dir="5400000" sx="95000" sy="95000" algn="tl"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443727" y="1132756"/>
            <a:ext cx="1620691" cy="343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l"/>
            <a:r>
              <a:rPr lang="en-CA" sz="1100" b="1"/>
              <a:t>Date of Last</a:t>
            </a:r>
            <a:r>
              <a:rPr lang="en-CA" sz="1100" b="1" baseline="0"/>
              <a:t> Record</a:t>
            </a:r>
            <a:endParaRPr lang="en-CA" sz="1100" b="1"/>
          </a:p>
        </xdr:txBody>
      </xdr:sp>
      <xdr:sp macro="" textlink="Calculations!E7">
        <xdr:nvSpPr>
          <xdr:cNvPr id="7" name="TextBox 6">
            <a:extLst>
              <a:ext uri="{FF2B5EF4-FFF2-40B4-BE49-F238E27FC236}">
                <a16:creationId xmlns:a16="http://schemas.microsoft.com/office/drawing/2014/main" id="{00000000-0008-0000-0200-000007000000}"/>
              </a:ext>
            </a:extLst>
          </xdr:cNvPr>
          <xdr:cNvSpPr txBox="1"/>
        </xdr:nvSpPr>
        <xdr:spPr>
          <a:xfrm>
            <a:off x="3452691" y="1511834"/>
            <a:ext cx="957304" cy="247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4FBF46-4E46-497D-AF5F-E002636C36FD}" type="TxLink">
              <a:rPr lang="en-US" sz="1100" b="1" i="0" u="none" strike="noStrike">
                <a:solidFill>
                  <a:srgbClr val="000000"/>
                </a:solidFill>
                <a:latin typeface="Aptos Narrow"/>
              </a:rPr>
              <a:pPr/>
              <a:t>0-Jan-00</a:t>
            </a:fld>
            <a:endParaRPr lang="en-CA" sz="1100" b="1"/>
          </a:p>
        </xdr:txBody>
      </xdr:sp>
      <xdr:sp macro="" textlink="Calculations!E8">
        <xdr:nvSpPr>
          <xdr:cNvPr id="8" name="TextBox 7">
            <a:extLst>
              <a:ext uri="{FF2B5EF4-FFF2-40B4-BE49-F238E27FC236}">
                <a16:creationId xmlns:a16="http://schemas.microsoft.com/office/drawing/2014/main" id="{00000000-0008-0000-0200-000008000000}"/>
              </a:ext>
            </a:extLst>
          </xdr:cNvPr>
          <xdr:cNvSpPr txBox="1"/>
        </xdr:nvSpPr>
        <xdr:spPr>
          <a:xfrm>
            <a:off x="4158982" y="1502870"/>
            <a:ext cx="950260" cy="247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A067027-4585-46B3-B293-5D9A6B585A10}" type="TxLink">
              <a:rPr lang="en-US" sz="1050" b="0" i="0" u="none" strike="noStrike">
                <a:solidFill>
                  <a:srgbClr val="000000"/>
                </a:solidFill>
                <a:latin typeface="Aptos Narrow"/>
              </a:rPr>
              <a:pPr/>
              <a:t> </a:t>
            </a:fld>
            <a:endParaRPr lang="en-CA" sz="1050" b="1"/>
          </a:p>
        </xdr:txBody>
      </xdr:sp>
    </xdr:grpSp>
    <xdr:clientData/>
  </xdr:twoCellAnchor>
  <xdr:twoCellAnchor editAs="absolute">
    <xdr:from>
      <xdr:col>5</xdr:col>
      <xdr:colOff>645459</xdr:colOff>
      <xdr:row>4</xdr:row>
      <xdr:rowOff>125506</xdr:rowOff>
    </xdr:from>
    <xdr:to>
      <xdr:col>6</xdr:col>
      <xdr:colOff>1299883</xdr:colOff>
      <xdr:row>10</xdr:row>
      <xdr:rowOff>147530</xdr:rowOff>
    </xdr:to>
    <xdr:grpSp>
      <xdr:nvGrpSpPr>
        <xdr:cNvPr id="20" name="Group 19">
          <a:extLst>
            <a:ext uri="{FF2B5EF4-FFF2-40B4-BE49-F238E27FC236}">
              <a16:creationId xmlns:a16="http://schemas.microsoft.com/office/drawing/2014/main" id="{00000000-0008-0000-0200-000014000000}"/>
            </a:ext>
          </a:extLst>
        </xdr:cNvPr>
        <xdr:cNvGrpSpPr/>
      </xdr:nvGrpSpPr>
      <xdr:grpSpPr>
        <a:xfrm>
          <a:off x="5868156" y="973124"/>
          <a:ext cx="1972940" cy="1100810"/>
          <a:chOff x="5881488" y="965628"/>
          <a:chExt cx="1971595" cy="1132367"/>
        </a:xfrm>
      </xdr:grpSpPr>
      <xdr:sp macro=""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5881488" y="965628"/>
            <a:ext cx="1962630" cy="1132367"/>
          </a:xfrm>
          <a:prstGeom prst="roundRect">
            <a:avLst>
              <a:gd name="adj" fmla="val 0"/>
            </a:avLst>
          </a:prstGeom>
          <a:solidFill>
            <a:schemeClr val="bg1"/>
          </a:solidFill>
          <a:ln w="6350">
            <a:solidFill>
              <a:schemeClr val="bg1">
                <a:lumMod val="75000"/>
              </a:schemeClr>
            </a:solidFill>
          </a:ln>
          <a:effectLst>
            <a:outerShdw blurRad="825500" dist="127000" dir="5400000" sx="95000" sy="95000" algn="tl"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6240077" y="1114827"/>
            <a:ext cx="1613006" cy="343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l"/>
            <a:r>
              <a:rPr lang="en-CA" sz="1100" b="1"/>
              <a:t>No.</a:t>
            </a:r>
            <a:r>
              <a:rPr lang="en-CA" sz="1100" b="1" baseline="0"/>
              <a:t> of Tracked Records</a:t>
            </a:r>
          </a:p>
          <a:p>
            <a:pPr lvl="0" algn="l"/>
            <a:endParaRPr lang="en-CA" sz="1100" b="1"/>
          </a:p>
        </xdr:txBody>
      </xdr:sp>
      <xdr:sp macro="" textlink="Calculations!E9">
        <xdr:nvSpPr>
          <xdr:cNvPr id="12" name="TextBox 11">
            <a:extLst>
              <a:ext uri="{FF2B5EF4-FFF2-40B4-BE49-F238E27FC236}">
                <a16:creationId xmlns:a16="http://schemas.microsoft.com/office/drawing/2014/main" id="{00000000-0008-0000-0200-00000C000000}"/>
              </a:ext>
            </a:extLst>
          </xdr:cNvPr>
          <xdr:cNvSpPr txBox="1"/>
        </xdr:nvSpPr>
        <xdr:spPr>
          <a:xfrm>
            <a:off x="6275935" y="1484940"/>
            <a:ext cx="949619" cy="247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28C06C0-B30F-40D2-B29A-FB7991959138}" type="TxLink">
              <a:rPr lang="en-US" sz="1200" b="1" i="0" u="none" strike="noStrike">
                <a:solidFill>
                  <a:srgbClr val="000000"/>
                </a:solidFill>
                <a:latin typeface="Aptos Narrow"/>
              </a:rPr>
              <a:pPr/>
              <a:t>0</a:t>
            </a:fld>
            <a:endParaRPr lang="en-CA" sz="1200" b="1"/>
          </a:p>
        </xdr:txBody>
      </xdr:sp>
      <xdr:sp macro="" textlink="Calculations!E10">
        <xdr:nvSpPr>
          <xdr:cNvPr id="13" name="TextBox 12">
            <a:extLst>
              <a:ext uri="{FF2B5EF4-FFF2-40B4-BE49-F238E27FC236}">
                <a16:creationId xmlns:a16="http://schemas.microsoft.com/office/drawing/2014/main" id="{00000000-0008-0000-0200-00000D000000}"/>
              </a:ext>
            </a:extLst>
          </xdr:cNvPr>
          <xdr:cNvSpPr txBox="1"/>
        </xdr:nvSpPr>
        <xdr:spPr>
          <a:xfrm>
            <a:off x="6687670" y="1484941"/>
            <a:ext cx="950260" cy="247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67F6A08-4C8A-40E0-A107-BD1401F9504D}" type="TxLink">
              <a:rPr lang="en-US" sz="1050" b="0" i="0" u="none" strike="noStrike">
                <a:solidFill>
                  <a:srgbClr val="000000"/>
                </a:solidFill>
                <a:latin typeface="Aptos Narrow"/>
              </a:rPr>
              <a:pPr/>
              <a:t>(0this year)</a:t>
            </a:fld>
            <a:endParaRPr lang="en-CA" sz="1000" b="1"/>
          </a:p>
        </xdr:txBody>
      </xdr:sp>
    </xdr:grpSp>
    <xdr:clientData/>
  </xdr:twoCellAnchor>
  <xdr:twoCellAnchor editAs="absolute">
    <xdr:from>
      <xdr:col>7</xdr:col>
      <xdr:colOff>99483</xdr:colOff>
      <xdr:row>4</xdr:row>
      <xdr:rowOff>125506</xdr:rowOff>
    </xdr:from>
    <xdr:to>
      <xdr:col>12</xdr:col>
      <xdr:colOff>106455</xdr:colOff>
      <xdr:row>10</xdr:row>
      <xdr:rowOff>147530</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8216067" y="973124"/>
          <a:ext cx="4210815" cy="1100810"/>
          <a:chOff x="8229600" y="965627"/>
          <a:chExt cx="4229419" cy="1132367"/>
        </a:xfrm>
      </xdr:grpSpPr>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8229600" y="965627"/>
            <a:ext cx="4130808" cy="1132367"/>
          </a:xfrm>
          <a:prstGeom prst="roundRect">
            <a:avLst>
              <a:gd name="adj" fmla="val 0"/>
            </a:avLst>
          </a:prstGeom>
          <a:solidFill>
            <a:schemeClr val="bg1"/>
          </a:solidFill>
          <a:ln w="6350">
            <a:solidFill>
              <a:schemeClr val="bg1">
                <a:lumMod val="75000"/>
              </a:schemeClr>
            </a:solidFill>
          </a:ln>
          <a:effectLst>
            <a:outerShdw blurRad="825500" dist="127000" dir="5400000" sx="95000" sy="95000" algn="tl"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8588189" y="1114826"/>
            <a:ext cx="1612367" cy="343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l"/>
            <a:r>
              <a:rPr lang="en-CA" sz="1100" b="1" baseline="0"/>
              <a:t>Total Tracking Balance</a:t>
            </a:r>
          </a:p>
          <a:p>
            <a:pPr lvl="0" algn="l"/>
            <a:endParaRPr lang="en-CA" sz="1100" b="1"/>
          </a:p>
        </xdr:txBody>
      </xdr:sp>
      <xdr:sp macro="" textlink="Calculations!E11">
        <xdr:nvSpPr>
          <xdr:cNvPr id="16" name="TextBox 15">
            <a:extLst>
              <a:ext uri="{FF2B5EF4-FFF2-40B4-BE49-F238E27FC236}">
                <a16:creationId xmlns:a16="http://schemas.microsoft.com/office/drawing/2014/main" id="{00000000-0008-0000-0200-000010000000}"/>
              </a:ext>
            </a:extLst>
          </xdr:cNvPr>
          <xdr:cNvSpPr txBox="1"/>
        </xdr:nvSpPr>
        <xdr:spPr>
          <a:xfrm>
            <a:off x="8624047" y="1484939"/>
            <a:ext cx="948980" cy="247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209EEE-2802-4F49-943A-B7FC21C24B5D}" type="TxLink">
              <a:rPr lang="en-US" sz="1200" b="1" i="0" u="none" strike="noStrike">
                <a:solidFill>
                  <a:srgbClr val="000000"/>
                </a:solidFill>
                <a:latin typeface="Aptos Narrow"/>
              </a:rPr>
              <a:pPr/>
              <a:t>-</a:t>
            </a:fld>
            <a:endParaRPr lang="en-CA" sz="1400" b="1"/>
          </a:p>
        </xdr:txBody>
      </xdr:sp>
      <xdr:sp macro="" textlink="Calculations!E12">
        <xdr:nvSpPr>
          <xdr:cNvPr id="17" name="TextBox 16">
            <a:extLst>
              <a:ext uri="{FF2B5EF4-FFF2-40B4-BE49-F238E27FC236}">
                <a16:creationId xmlns:a16="http://schemas.microsoft.com/office/drawing/2014/main" id="{00000000-0008-0000-0200-000011000000}"/>
              </a:ext>
            </a:extLst>
          </xdr:cNvPr>
          <xdr:cNvSpPr txBox="1"/>
        </xdr:nvSpPr>
        <xdr:spPr>
          <a:xfrm>
            <a:off x="9341222" y="1484941"/>
            <a:ext cx="3117797" cy="2478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21F18C3-7A29-41B7-9689-0F3F473A231B}" type="TxLink">
              <a:rPr lang="en-US" sz="1100" b="0" i="0" u="none" strike="noStrike">
                <a:solidFill>
                  <a:srgbClr val="000000"/>
                </a:solidFill>
                <a:latin typeface="Aptos Narrow"/>
              </a:rPr>
              <a:pPr/>
              <a:t>of tracked income left to be allocated</a:t>
            </a:fld>
            <a:endParaRPr lang="en-CA" sz="1000" b="1"/>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31</xdr:col>
      <xdr:colOff>136479</xdr:colOff>
      <xdr:row>12</xdr:row>
      <xdr:rowOff>79613</xdr:rowOff>
    </xdr:from>
    <xdr:to>
      <xdr:col>34</xdr:col>
      <xdr:colOff>204717</xdr:colOff>
      <xdr:row>14</xdr:row>
      <xdr:rowOff>2345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744270" y="2581703"/>
          <a:ext cx="2286000" cy="284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a:solidFill>
                <a:schemeClr val="accent3">
                  <a:lumMod val="60000"/>
                  <a:lumOff val="40000"/>
                </a:schemeClr>
              </a:solidFill>
              <a:latin typeface="Calibri" panose="020F0502020204030204" pitchFamily="34" charset="0"/>
              <a:ea typeface="Calibri" panose="020F0502020204030204" pitchFamily="34" charset="0"/>
              <a:cs typeface="Calibri" panose="020F0502020204030204" pitchFamily="34" charset="0"/>
            </a:rPr>
            <a:t>Income</a:t>
          </a:r>
          <a:r>
            <a:rPr lang="en-CA" sz="1100" b="1">
              <a:latin typeface="Calibri" panose="020F0502020204030204" pitchFamily="34" charset="0"/>
              <a:ea typeface="Calibri" panose="020F0502020204030204" pitchFamily="34" charset="0"/>
              <a:cs typeface="Calibri" panose="020F0502020204030204" pitchFamily="34" charset="0"/>
            </a:rPr>
            <a:t> Categories(Tracked)</a:t>
          </a:r>
        </a:p>
      </xdr:txBody>
    </xdr:sp>
    <xdr:clientData/>
  </xdr:twoCellAnchor>
  <xdr:twoCellAnchor editAs="oneCell">
    <xdr:from>
      <xdr:col>31</xdr:col>
      <xdr:colOff>90985</xdr:colOff>
      <xdr:row>13</xdr:row>
      <xdr:rowOff>125103</xdr:rowOff>
    </xdr:from>
    <xdr:to>
      <xdr:col>34</xdr:col>
      <xdr:colOff>181969</xdr:colOff>
      <xdr:row>23</xdr:row>
      <xdr:rowOff>68239</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31</xdr:col>
      <xdr:colOff>136479</xdr:colOff>
      <xdr:row>25</xdr:row>
      <xdr:rowOff>79613</xdr:rowOff>
    </xdr:from>
    <xdr:ext cx="2300899" cy="286147"/>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6720159" y="2594213"/>
          <a:ext cx="2300899" cy="286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a:solidFill>
                <a:srgbClr val="FF0000"/>
              </a:solidFill>
              <a:latin typeface="Calibri" panose="020F0502020204030204" pitchFamily="34" charset="0"/>
              <a:ea typeface="Calibri" panose="020F0502020204030204" pitchFamily="34" charset="0"/>
              <a:cs typeface="Calibri" panose="020F0502020204030204" pitchFamily="34" charset="0"/>
            </a:rPr>
            <a:t>Expenses</a:t>
          </a:r>
          <a:r>
            <a:rPr lang="en-CA" sz="1100" b="1">
              <a:latin typeface="Calibri" panose="020F0502020204030204" pitchFamily="34" charset="0"/>
              <a:ea typeface="Calibri" panose="020F0502020204030204" pitchFamily="34" charset="0"/>
              <a:cs typeface="Calibri" panose="020F0502020204030204" pitchFamily="34" charset="0"/>
            </a:rPr>
            <a:t> Categories(Tracked)</a:t>
          </a:r>
        </a:p>
      </xdr:txBody>
    </xdr:sp>
    <xdr:clientData/>
  </xdr:oneCellAnchor>
  <xdr:oneCellAnchor>
    <xdr:from>
      <xdr:col>31</xdr:col>
      <xdr:colOff>90985</xdr:colOff>
      <xdr:row>26</xdr:row>
      <xdr:rowOff>125103</xdr:rowOff>
    </xdr:from>
    <xdr:ext cx="2323645" cy="1771936"/>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38</xdr:col>
      <xdr:colOff>136479</xdr:colOff>
      <xdr:row>25</xdr:row>
      <xdr:rowOff>79613</xdr:rowOff>
    </xdr:from>
    <xdr:ext cx="2300899" cy="286147"/>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6736382" y="5008032"/>
          <a:ext cx="2300899" cy="286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rPr>
            <a:t>Savings</a:t>
          </a:r>
          <a:r>
            <a:rPr lang="en-CA" sz="1100" b="1">
              <a:latin typeface="Calibri" panose="020F0502020204030204" pitchFamily="34" charset="0"/>
              <a:ea typeface="Calibri" panose="020F0502020204030204" pitchFamily="34" charset="0"/>
              <a:cs typeface="Calibri" panose="020F0502020204030204" pitchFamily="34" charset="0"/>
            </a:rPr>
            <a:t> Categories(Tracked)</a:t>
          </a:r>
        </a:p>
      </xdr:txBody>
    </xdr:sp>
    <xdr:clientData/>
  </xdr:oneCellAnchor>
  <xdr:oneCellAnchor>
    <xdr:from>
      <xdr:col>38</xdr:col>
      <xdr:colOff>90985</xdr:colOff>
      <xdr:row>26</xdr:row>
      <xdr:rowOff>125103</xdr:rowOff>
    </xdr:from>
    <xdr:ext cx="2323645" cy="1771936"/>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twoCellAnchor editAs="oneCell">
    <xdr:from>
      <xdr:col>38</xdr:col>
      <xdr:colOff>0</xdr:colOff>
      <xdr:row>12</xdr:row>
      <xdr:rowOff>80818</xdr:rowOff>
    </xdr:from>
    <xdr:to>
      <xdr:col>41</xdr:col>
      <xdr:colOff>68238</xdr:colOff>
      <xdr:row>14</xdr:row>
      <xdr:rowOff>23090</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11060545" y="2620818"/>
          <a:ext cx="229651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a:solidFill>
                <a:schemeClr val="accent5">
                  <a:lumMod val="60000"/>
                  <a:lumOff val="40000"/>
                </a:schemeClr>
              </a:solidFill>
              <a:latin typeface="Calibri" panose="020F0502020204030204" pitchFamily="34" charset="0"/>
              <a:ea typeface="Calibri" panose="020F0502020204030204" pitchFamily="34" charset="0"/>
              <a:cs typeface="Calibri" panose="020F0502020204030204" pitchFamily="34" charset="0"/>
            </a:rPr>
            <a:t>   Tracked</a:t>
          </a:r>
          <a:r>
            <a:rPr lang="en-CA" sz="1100" b="1" baseline="0">
              <a:solidFill>
                <a:schemeClr val="accent5">
                  <a:lumMod val="60000"/>
                  <a:lumOff val="40000"/>
                </a:schemeClr>
              </a:solidFill>
              <a:latin typeface="Calibri" panose="020F0502020204030204" pitchFamily="34" charset="0"/>
              <a:ea typeface="Calibri" panose="020F0502020204030204" pitchFamily="34" charset="0"/>
              <a:cs typeface="Calibri" panose="020F0502020204030204" pitchFamily="34" charset="0"/>
            </a:rPr>
            <a:t> (vs. Budget)</a:t>
          </a:r>
          <a:endParaRPr lang="en-CA" sz="1100" b="1">
            <a:solidFill>
              <a:schemeClr val="accent5">
                <a:lumMod val="60000"/>
                <a:lumOff val="4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38</xdr:col>
      <xdr:colOff>45492</xdr:colOff>
      <xdr:row>14</xdr:row>
      <xdr:rowOff>11373</xdr:rowOff>
    </xdr:from>
    <xdr:to>
      <xdr:col>43</xdr:col>
      <xdr:colOff>410817</xdr:colOff>
      <xdr:row>23</xdr:row>
      <xdr:rowOff>145773</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42</xdr:col>
          <xdr:colOff>266700</xdr:colOff>
          <xdr:row>12</xdr:row>
          <xdr:rowOff>121920</xdr:rowOff>
        </xdr:from>
        <xdr:to>
          <xdr:col>44</xdr:col>
          <xdr:colOff>114300</xdr:colOff>
          <xdr:row>13</xdr:row>
          <xdr:rowOff>91440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Income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266700</xdr:colOff>
          <xdr:row>14</xdr:row>
          <xdr:rowOff>45720</xdr:rowOff>
        </xdr:from>
        <xdr:to>
          <xdr:col>44</xdr:col>
          <xdr:colOff>251460</xdr:colOff>
          <xdr:row>15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Savings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266700</xdr:colOff>
          <xdr:row>13</xdr:row>
          <xdr:rowOff>76200</xdr:rowOff>
        </xdr:from>
        <xdr:to>
          <xdr:col>44</xdr:col>
          <xdr:colOff>45720</xdr:colOff>
          <xdr:row>14</xdr:row>
          <xdr:rowOff>60960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594360</xdr:colOff>
          <xdr:row>12</xdr:row>
          <xdr:rowOff>121920</xdr:rowOff>
        </xdr:from>
        <xdr:to>
          <xdr:col>42</xdr:col>
          <xdr:colOff>182880</xdr:colOff>
          <xdr:row>13</xdr:row>
          <xdr:rowOff>60960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Budget</a:t>
              </a:r>
            </a:p>
          </xdr:txBody>
        </xdr:sp>
        <xdr:clientData/>
      </xdr:twoCellAnchor>
    </mc:Choice>
    <mc:Fallback/>
  </mc:AlternateContent>
  <xdr:twoCellAnchor>
    <xdr:from>
      <xdr:col>41</xdr:col>
      <xdr:colOff>571500</xdr:colOff>
      <xdr:row>12</xdr:row>
      <xdr:rowOff>101600</xdr:rowOff>
    </xdr:from>
    <xdr:to>
      <xdr:col>43</xdr:col>
      <xdr:colOff>313900</xdr:colOff>
      <xdr:row>15</xdr:row>
      <xdr:rowOff>36200</xdr:rowOff>
    </xdr:to>
    <xdr:sp macro="" textlink="">
      <xdr:nvSpPr>
        <xdr:cNvPr id="11" name="Rectangle 10">
          <a:extLst>
            <a:ext uri="{FF2B5EF4-FFF2-40B4-BE49-F238E27FC236}">
              <a16:creationId xmlns:a16="http://schemas.microsoft.com/office/drawing/2014/main" id="{00000000-0008-0000-0300-00000B000000}"/>
            </a:ext>
          </a:extLst>
        </xdr:cNvPr>
        <xdr:cNvSpPr/>
      </xdr:nvSpPr>
      <xdr:spPr>
        <a:xfrm>
          <a:off x="13855700" y="2565400"/>
          <a:ext cx="1368000" cy="468000"/>
        </a:xfrm>
        <a:prstGeom prst="rect">
          <a:avLst/>
        </a:prstGeom>
        <a:no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0</xdr:colOff>
      <xdr:row>3</xdr:row>
      <xdr:rowOff>2438</xdr:rowOff>
    </xdr:from>
    <xdr:to>
      <xdr:col>26</xdr:col>
      <xdr:colOff>162395</xdr:colOff>
      <xdr:row>8</xdr:row>
      <xdr:rowOff>162757</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1226634" y="875950"/>
          <a:ext cx="2541322" cy="1089587"/>
          <a:chOff x="1219200" y="863050"/>
          <a:chExt cx="2924671" cy="1056789"/>
        </a:xfrm>
      </xdr:grpSpPr>
      <xdr:sp macro="" textlink="">
        <xdr:nvSpPr>
          <xdr:cNvPr id="15" name="Rectangle: Rounded Corners 14">
            <a:extLst>
              <a:ext uri="{FF2B5EF4-FFF2-40B4-BE49-F238E27FC236}">
                <a16:creationId xmlns:a16="http://schemas.microsoft.com/office/drawing/2014/main" id="{00000000-0008-0000-0300-00000F000000}"/>
              </a:ext>
            </a:extLst>
          </xdr:cNvPr>
          <xdr:cNvSpPr/>
        </xdr:nvSpPr>
        <xdr:spPr>
          <a:xfrm>
            <a:off x="1219200" y="863050"/>
            <a:ext cx="2924671" cy="1056789"/>
          </a:xfrm>
          <a:prstGeom prst="roundRect">
            <a:avLst>
              <a:gd name="adj" fmla="val 0"/>
            </a:avLst>
          </a:prstGeom>
          <a:solidFill>
            <a:schemeClr val="bg1"/>
          </a:solidFill>
          <a:ln w="6350">
            <a:solidFill>
              <a:schemeClr val="bg1">
                <a:lumMod val="75000"/>
              </a:schemeClr>
            </a:solidFill>
          </a:ln>
          <a:effectLst>
            <a:outerShdw blurRad="825500" dist="127000" dir="5400000" sx="95000" sy="95000" algn="tl"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81997" y="1015736"/>
            <a:ext cx="1722888" cy="2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l"/>
            <a:r>
              <a:rPr lang="en-CA" sz="1200" b="1"/>
              <a:t>Selected</a:t>
            </a:r>
            <a:r>
              <a:rPr lang="en-CA" sz="1200" b="1" baseline="0"/>
              <a:t> Year &amp; Period</a:t>
            </a:r>
            <a:endParaRPr lang="en-CA" sz="1200" b="1"/>
          </a:p>
        </xdr:txBody>
      </xdr:sp>
      <xdr:sp macro="" textlink="selected_year">
        <xdr:nvSpPr>
          <xdr:cNvPr id="18" name="Rectangle: Rounded Corners 17">
            <a:extLst>
              <a:ext uri="{FF2B5EF4-FFF2-40B4-BE49-F238E27FC236}">
                <a16:creationId xmlns:a16="http://schemas.microsoft.com/office/drawing/2014/main" id="{00000000-0008-0000-0300-000012000000}"/>
              </a:ext>
            </a:extLst>
          </xdr:cNvPr>
          <xdr:cNvSpPr/>
        </xdr:nvSpPr>
        <xdr:spPr>
          <a:xfrm>
            <a:off x="1372752" y="1413772"/>
            <a:ext cx="761998" cy="280481"/>
          </a:xfrm>
          <a:prstGeom prst="roundRect">
            <a:avLst/>
          </a:prstGeom>
          <a:solidFill>
            <a:schemeClr val="bg1"/>
          </a:solidFill>
          <a:ln>
            <a:solidFill>
              <a:schemeClr val="tx2">
                <a:lumMod val="90000"/>
                <a:lumOff val="1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690A5F1-16E7-4D6A-92CD-A999AFCE8809}" type="TxLink">
              <a:rPr lang="en-US" sz="1000" b="1" i="0" u="none" strike="noStrike">
                <a:solidFill>
                  <a:srgbClr val="000000"/>
                </a:solidFill>
                <a:latin typeface="Aptos Narrow"/>
              </a:rPr>
              <a:pPr algn="ctr"/>
              <a:t>2024</a:t>
            </a:fld>
            <a:endParaRPr lang="en-CA" sz="1000" b="1"/>
          </a:p>
        </xdr:txBody>
      </xdr:sp>
      <xdr:sp macro="" textlink="selected_period_display">
        <xdr:nvSpPr>
          <xdr:cNvPr id="19" name="Rectangle: Rounded Corners 18">
            <a:extLst>
              <a:ext uri="{FF2B5EF4-FFF2-40B4-BE49-F238E27FC236}">
                <a16:creationId xmlns:a16="http://schemas.microsoft.com/office/drawing/2014/main" id="{00000000-0008-0000-0300-000013000000}"/>
              </a:ext>
            </a:extLst>
          </xdr:cNvPr>
          <xdr:cNvSpPr/>
        </xdr:nvSpPr>
        <xdr:spPr>
          <a:xfrm>
            <a:off x="2342863" y="1416960"/>
            <a:ext cx="968225" cy="280136"/>
          </a:xfrm>
          <a:prstGeom prst="roundRect">
            <a:avLst/>
          </a:prstGeom>
          <a:solidFill>
            <a:schemeClr val="bg1"/>
          </a:solidFill>
          <a:ln>
            <a:solidFill>
              <a:schemeClr val="tx2">
                <a:lumMod val="90000"/>
                <a:lumOff val="1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49AB6A6-9418-40C0-8CEF-86389822338F}" type="TxLink">
              <a:rPr lang="en-US" sz="105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lgn="ctr"/>
              <a:t>Total Year</a:t>
            </a:fld>
            <a:endParaRPr lang="en-CA" sz="1050" b="1">
              <a:latin typeface="Calibri" panose="020F0502020204030204" pitchFamily="34" charset="0"/>
              <a:ea typeface="Calibri" panose="020F0502020204030204" pitchFamily="34" charset="0"/>
              <a:cs typeface="Calibri" panose="020F0502020204030204" pitchFamily="34" charset="0"/>
            </a:endParaRPr>
          </a:p>
        </xdr:txBody>
      </xdr:sp>
    </xdr:grpSp>
    <xdr:clientData/>
  </xdr:twoCellAnchor>
  <xdr:twoCellAnchor>
    <xdr:from>
      <xdr:col>26</xdr:col>
      <xdr:colOff>242770</xdr:colOff>
      <xdr:row>3</xdr:row>
      <xdr:rowOff>2438</xdr:rowOff>
    </xdr:from>
    <xdr:to>
      <xdr:col>28</xdr:col>
      <xdr:colOff>716398</xdr:colOff>
      <xdr:row>8</xdr:row>
      <xdr:rowOff>151320</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3848331" y="875950"/>
          <a:ext cx="1746726" cy="1078150"/>
          <a:chOff x="4602390" y="903221"/>
          <a:chExt cx="1747811" cy="1090581"/>
        </a:xfrm>
      </xdr:grpSpPr>
      <xdr:sp macro="" textlink="">
        <xdr:nvSpPr>
          <xdr:cNvPr id="22" name="Rectangle: Rounded Corners 21">
            <a:extLst>
              <a:ext uri="{FF2B5EF4-FFF2-40B4-BE49-F238E27FC236}">
                <a16:creationId xmlns:a16="http://schemas.microsoft.com/office/drawing/2014/main" id="{00000000-0008-0000-0300-000016000000}"/>
              </a:ext>
            </a:extLst>
          </xdr:cNvPr>
          <xdr:cNvSpPr/>
        </xdr:nvSpPr>
        <xdr:spPr>
          <a:xfrm>
            <a:off x="4602390" y="903221"/>
            <a:ext cx="1462421" cy="1090581"/>
          </a:xfrm>
          <a:prstGeom prst="roundRect">
            <a:avLst>
              <a:gd name="adj" fmla="val 0"/>
            </a:avLst>
          </a:prstGeom>
          <a:solidFill>
            <a:schemeClr val="bg1"/>
          </a:solidFill>
          <a:ln w="6350">
            <a:solidFill>
              <a:schemeClr val="bg1">
                <a:lumMod val="75000"/>
              </a:schemeClr>
            </a:solidFill>
          </a:ln>
          <a:effectLst>
            <a:outerShdw blurRad="825500" dist="127000" dir="5400000" sx="95000" sy="95000" algn="tl"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4727236" y="1024618"/>
            <a:ext cx="1622965" cy="336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l"/>
            <a:r>
              <a:rPr lang="en-CA" sz="1100" b="1"/>
              <a:t>Period</a:t>
            </a:r>
            <a:r>
              <a:rPr lang="en-CA" sz="1100" b="1" baseline="0"/>
              <a:t> Completed</a:t>
            </a:r>
            <a:endParaRPr lang="en-CA" sz="1100" b="1"/>
          </a:p>
        </xdr:txBody>
      </xdr:sp>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5052509" y="1436557"/>
          <a:ext cx="569180" cy="22787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ations!E22">
        <xdr:nvSpPr>
          <xdr:cNvPr id="24" name="TextBox 23">
            <a:extLst>
              <a:ext uri="{FF2B5EF4-FFF2-40B4-BE49-F238E27FC236}">
                <a16:creationId xmlns:a16="http://schemas.microsoft.com/office/drawing/2014/main" id="{00000000-0008-0000-0300-000018000000}"/>
              </a:ext>
            </a:extLst>
          </xdr:cNvPr>
          <xdr:cNvSpPr txBox="1"/>
        </xdr:nvSpPr>
        <xdr:spPr>
          <a:xfrm>
            <a:off x="5089823" y="1389402"/>
            <a:ext cx="531759" cy="286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C0F5605-ED74-455A-9604-582531163CBB}" type="TxLink">
              <a:rPr lang="en-US" sz="11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lgn="ctr"/>
              <a:t>76%</a:t>
            </a:fld>
            <a:endParaRPr lang="en-CA" sz="1100" b="1">
              <a:latin typeface="Calibri" panose="020F0502020204030204" pitchFamily="34" charset="0"/>
              <a:ea typeface="Calibri" panose="020F0502020204030204" pitchFamily="34" charset="0"/>
              <a:cs typeface="Calibri" panose="020F0502020204030204" pitchFamily="34" charset="0"/>
            </a:endParaRPr>
          </a:p>
        </xdr:txBody>
      </xdr:sp>
    </xdr:grpSp>
    <xdr:clientData/>
  </xdr:twoCellAnchor>
  <xdr:twoCellAnchor editAs="absolute">
    <xdr:from>
      <xdr:col>28</xdr:col>
      <xdr:colOff>540327</xdr:colOff>
      <xdr:row>3</xdr:row>
      <xdr:rowOff>2438</xdr:rowOff>
    </xdr:from>
    <xdr:to>
      <xdr:col>32</xdr:col>
      <xdr:colOff>1039090</xdr:colOff>
      <xdr:row>8</xdr:row>
      <xdr:rowOff>152400</xdr:rowOff>
    </xdr:to>
    <xdr:grpSp>
      <xdr:nvGrpSpPr>
        <xdr:cNvPr id="29" name="Group 28">
          <a:extLst>
            <a:ext uri="{FF2B5EF4-FFF2-40B4-BE49-F238E27FC236}">
              <a16:creationId xmlns:a16="http://schemas.microsoft.com/office/drawing/2014/main" id="{00000000-0008-0000-0300-00001D000000}"/>
            </a:ext>
          </a:extLst>
        </xdr:cNvPr>
        <xdr:cNvGrpSpPr/>
      </xdr:nvGrpSpPr>
      <xdr:grpSpPr>
        <a:xfrm>
          <a:off x="5418986" y="875950"/>
          <a:ext cx="3249397" cy="1079230"/>
          <a:chOff x="8229600" y="965627"/>
          <a:chExt cx="4130808" cy="1132367"/>
        </a:xfrm>
      </xdr:grpSpPr>
      <xdr:sp macro="" textlink="">
        <xdr:nvSpPr>
          <xdr:cNvPr id="30" name="Rectangle: Rounded Corners 29">
            <a:extLst>
              <a:ext uri="{FF2B5EF4-FFF2-40B4-BE49-F238E27FC236}">
                <a16:creationId xmlns:a16="http://schemas.microsoft.com/office/drawing/2014/main" id="{00000000-0008-0000-0300-00001E000000}"/>
              </a:ext>
            </a:extLst>
          </xdr:cNvPr>
          <xdr:cNvSpPr/>
        </xdr:nvSpPr>
        <xdr:spPr>
          <a:xfrm>
            <a:off x="8229600" y="965627"/>
            <a:ext cx="4130808" cy="1132367"/>
          </a:xfrm>
          <a:prstGeom prst="roundRect">
            <a:avLst>
              <a:gd name="adj" fmla="val 0"/>
            </a:avLst>
          </a:prstGeom>
          <a:solidFill>
            <a:schemeClr val="bg1"/>
          </a:solidFill>
          <a:ln w="6350">
            <a:solidFill>
              <a:schemeClr val="bg1">
                <a:lumMod val="75000"/>
              </a:schemeClr>
            </a:solidFill>
          </a:ln>
          <a:effectLst>
            <a:outerShdw blurRad="825500" dist="127000" dir="5400000" sx="95000" sy="95000" algn="tl"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8588189" y="1114826"/>
            <a:ext cx="1612367" cy="343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l"/>
            <a:r>
              <a:rPr lang="en-CA" sz="1100" b="1" baseline="0"/>
              <a:t>Period Tracking Balance</a:t>
            </a:r>
          </a:p>
          <a:p>
            <a:pPr lvl="0" algn="l"/>
            <a:endParaRPr lang="en-CA" sz="1100" b="1"/>
          </a:p>
        </xdr:txBody>
      </xdr:sp>
      <xdr:sp macro="" textlink="Calculations!E23">
        <xdr:nvSpPr>
          <xdr:cNvPr id="32" name="TextBox 31">
            <a:extLst>
              <a:ext uri="{FF2B5EF4-FFF2-40B4-BE49-F238E27FC236}">
                <a16:creationId xmlns:a16="http://schemas.microsoft.com/office/drawing/2014/main" id="{00000000-0008-0000-0300-000020000000}"/>
              </a:ext>
            </a:extLst>
          </xdr:cNvPr>
          <xdr:cNvSpPr txBox="1"/>
        </xdr:nvSpPr>
        <xdr:spPr>
          <a:xfrm>
            <a:off x="8624047" y="1484939"/>
            <a:ext cx="948980" cy="247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2A2EB0-0816-428E-8666-E8C0EE8C52AA}" type="TxLink">
              <a:rPr lang="en-US" sz="11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 -   </a:t>
            </a:fld>
            <a:endParaRPr lang="en-CA" sz="1400" b="1">
              <a:latin typeface="Calibri" panose="020F0502020204030204" pitchFamily="34" charset="0"/>
              <a:ea typeface="Calibri" panose="020F0502020204030204" pitchFamily="34" charset="0"/>
              <a:cs typeface="Calibri" panose="020F0502020204030204" pitchFamily="34" charset="0"/>
            </a:endParaRPr>
          </a:p>
        </xdr:txBody>
      </xdr:sp>
      <xdr:sp macro="" textlink="Calculations!E24">
        <xdr:nvSpPr>
          <xdr:cNvPr id="33" name="TextBox 32">
            <a:extLst>
              <a:ext uri="{FF2B5EF4-FFF2-40B4-BE49-F238E27FC236}">
                <a16:creationId xmlns:a16="http://schemas.microsoft.com/office/drawing/2014/main" id="{00000000-0008-0000-0300-000021000000}"/>
              </a:ext>
            </a:extLst>
          </xdr:cNvPr>
          <xdr:cNvSpPr txBox="1"/>
        </xdr:nvSpPr>
        <xdr:spPr>
          <a:xfrm>
            <a:off x="9341222" y="1484941"/>
            <a:ext cx="2563111" cy="466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11B289-2757-4FA2-B531-1063181F91FA}" type="TxLink">
              <a:rPr lang="en-US" sz="1100" b="0" i="0" u="none" strike="noStrike">
                <a:solidFill>
                  <a:srgbClr val="000000"/>
                </a:solidFill>
                <a:latin typeface="Aptos Narrow"/>
              </a:rPr>
              <a:pPr/>
              <a:t>of tracked income left to be allocated</a:t>
            </a:fld>
            <a:endParaRPr lang="en-CA" sz="1000" b="1"/>
          </a:p>
        </xdr:txBody>
      </xdr:sp>
    </xdr:grpSp>
    <xdr:clientData/>
  </xdr:twoCellAnchor>
  <xdr:twoCellAnchor editAs="absolute">
    <xdr:from>
      <xdr:col>33</xdr:col>
      <xdr:colOff>72617</xdr:colOff>
      <xdr:row>3</xdr:row>
      <xdr:rowOff>2438</xdr:rowOff>
    </xdr:from>
    <xdr:to>
      <xdr:col>39</xdr:col>
      <xdr:colOff>403149</xdr:colOff>
      <xdr:row>8</xdr:row>
      <xdr:rowOff>152400</xdr:rowOff>
    </xdr:to>
    <xdr:sp macro="" textlink="">
      <xdr:nvSpPr>
        <xdr:cNvPr id="35" name="Rectangle: Rounded Corners 34">
          <a:extLst>
            <a:ext uri="{FF2B5EF4-FFF2-40B4-BE49-F238E27FC236}">
              <a16:creationId xmlns:a16="http://schemas.microsoft.com/office/drawing/2014/main" id="{00000000-0008-0000-0300-000023000000}"/>
            </a:ext>
          </a:extLst>
        </xdr:cNvPr>
        <xdr:cNvSpPr/>
      </xdr:nvSpPr>
      <xdr:spPr>
        <a:xfrm>
          <a:off x="8759417" y="874797"/>
          <a:ext cx="3735884" cy="1069617"/>
        </a:xfrm>
        <a:prstGeom prst="roundRect">
          <a:avLst>
            <a:gd name="adj" fmla="val 0"/>
          </a:avLst>
        </a:prstGeom>
        <a:solidFill>
          <a:schemeClr val="bg1"/>
        </a:solidFill>
        <a:ln w="6350">
          <a:solidFill>
            <a:schemeClr val="bg1">
              <a:lumMod val="75000"/>
            </a:schemeClr>
          </a:solidFill>
        </a:ln>
        <a:effectLst>
          <a:outerShdw blurRad="825500" dist="127000" dir="5400000" sx="95000" sy="95000" algn="tl"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34</xdr:col>
      <xdr:colOff>279956</xdr:colOff>
      <xdr:row>3</xdr:row>
      <xdr:rowOff>144479</xdr:rowOff>
    </xdr:from>
    <xdr:to>
      <xdr:col>38</xdr:col>
      <xdr:colOff>381131</xdr:colOff>
      <xdr:row>7</xdr:row>
      <xdr:rowOff>9769</xdr:rowOff>
    </xdr:to>
    <xdr:grpSp>
      <xdr:nvGrpSpPr>
        <xdr:cNvPr id="53" name="Group 52">
          <a:extLst>
            <a:ext uri="{FF2B5EF4-FFF2-40B4-BE49-F238E27FC236}">
              <a16:creationId xmlns:a16="http://schemas.microsoft.com/office/drawing/2014/main" id="{00000000-0008-0000-0300-000035000000}"/>
            </a:ext>
          </a:extLst>
        </xdr:cNvPr>
        <xdr:cNvGrpSpPr/>
      </xdr:nvGrpSpPr>
      <xdr:grpSpPr>
        <a:xfrm>
          <a:off x="9089419" y="1017991"/>
          <a:ext cx="2331419" cy="608705"/>
          <a:chOff x="9098122" y="1016838"/>
          <a:chExt cx="2324125" cy="601014"/>
        </a:xfrm>
      </xdr:grpSpPr>
      <xdr:sp macro="" textlink="">
        <xdr:nvSpPr>
          <xdr:cNvPr id="36" name="TextBox 35">
            <a:extLst>
              <a:ext uri="{FF2B5EF4-FFF2-40B4-BE49-F238E27FC236}">
                <a16:creationId xmlns:a16="http://schemas.microsoft.com/office/drawing/2014/main" id="{00000000-0008-0000-0300-000024000000}"/>
              </a:ext>
            </a:extLst>
          </xdr:cNvPr>
          <xdr:cNvSpPr txBox="1"/>
        </xdr:nvSpPr>
        <xdr:spPr>
          <a:xfrm>
            <a:off x="9098122" y="1016838"/>
            <a:ext cx="1453651" cy="323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l"/>
            <a:r>
              <a:rPr lang="en-CA" sz="1100" b="1" baseline="0"/>
              <a:t>Period Savings Rate </a:t>
            </a:r>
            <a:endParaRPr lang="en-CA" sz="1100" b="1"/>
          </a:p>
        </xdr:txBody>
      </xdr:sp>
      <xdr:sp macro="" textlink="Calculations!E25">
        <xdr:nvSpPr>
          <xdr:cNvPr id="37" name="TextBox 36">
            <a:extLst>
              <a:ext uri="{FF2B5EF4-FFF2-40B4-BE49-F238E27FC236}">
                <a16:creationId xmlns:a16="http://schemas.microsoft.com/office/drawing/2014/main" id="{00000000-0008-0000-0300-000025000000}"/>
              </a:ext>
            </a:extLst>
          </xdr:cNvPr>
          <xdr:cNvSpPr txBox="1"/>
        </xdr:nvSpPr>
        <xdr:spPr>
          <a:xfrm>
            <a:off x="9836037" y="1336518"/>
            <a:ext cx="862216" cy="234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E7385AD-50AD-45F3-86D7-39DD179E8958}" type="TxLink">
              <a:rPr lang="en-US" sz="1200" b="1" i="0" u="none" strike="noStrike">
                <a:solidFill>
                  <a:schemeClr val="tx2">
                    <a:lumMod val="50000"/>
                    <a:lumOff val="50000"/>
                  </a:schemeClr>
                </a:solidFill>
                <a:latin typeface="Aptos Narrow"/>
                <a:ea typeface="Calibri" panose="020F0502020204030204" pitchFamily="34" charset="0"/>
                <a:cs typeface="Calibri" panose="020F0502020204030204" pitchFamily="34" charset="0"/>
              </a:rPr>
              <a:pPr algn="ctr"/>
              <a:t>-</a:t>
            </a:fld>
            <a:endParaRPr lang="en-CA" sz="1600" b="1">
              <a:solidFill>
                <a:schemeClr val="tx2">
                  <a:lumMod val="50000"/>
                  <a:lumOff val="50000"/>
                </a:schemeClr>
              </a:solidFill>
              <a:latin typeface="Calibri" panose="020F0502020204030204" pitchFamily="34" charset="0"/>
              <a:ea typeface="Calibri" panose="020F0502020204030204" pitchFamily="34" charset="0"/>
              <a:cs typeface="Calibri" panose="020F0502020204030204" pitchFamily="34" charset="0"/>
            </a:endParaRPr>
          </a:p>
        </xdr:txBody>
      </xdr:sp>
      <xdr:sp macro="" textlink="">
        <xdr:nvSpPr>
          <xdr:cNvPr id="38" name="TextBox 37">
            <a:extLst>
              <a:ext uri="{FF2B5EF4-FFF2-40B4-BE49-F238E27FC236}">
                <a16:creationId xmlns:a16="http://schemas.microsoft.com/office/drawing/2014/main" id="{00000000-0008-0000-0300-000026000000}"/>
              </a:ext>
            </a:extLst>
          </xdr:cNvPr>
          <xdr:cNvSpPr txBox="1"/>
        </xdr:nvSpPr>
        <xdr:spPr>
          <a:xfrm>
            <a:off x="9153397" y="1365827"/>
            <a:ext cx="1004936" cy="252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0" u="none" strike="noStrike">
                <a:solidFill>
                  <a:srgbClr val="000000"/>
                </a:solidFill>
                <a:latin typeface="Aptos Narrow"/>
              </a:rPr>
              <a:t>You</a:t>
            </a:r>
            <a:r>
              <a:rPr lang="en-US" sz="1050" b="0" i="0" u="none" strike="noStrike" baseline="0">
                <a:solidFill>
                  <a:srgbClr val="000000"/>
                </a:solidFill>
                <a:latin typeface="Aptos Narrow"/>
              </a:rPr>
              <a:t> are Saving</a:t>
            </a:r>
            <a:endParaRPr lang="en-US" sz="1050" b="0" i="0" u="none" strike="noStrike">
              <a:solidFill>
                <a:srgbClr val="000000"/>
              </a:solidFill>
              <a:latin typeface="Aptos Narrow"/>
            </a:endParaRPr>
          </a:p>
        </xdr:txBody>
      </xdr:sp>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10427184" y="1365827"/>
            <a:ext cx="995063" cy="252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0" u="none" strike="noStrike">
                <a:solidFill>
                  <a:srgbClr val="000000"/>
                </a:solidFill>
                <a:latin typeface="Aptos Narrow"/>
              </a:rPr>
              <a:t>of</a:t>
            </a:r>
            <a:r>
              <a:rPr lang="en-US" sz="1050" b="0" i="0" u="none" strike="noStrike" baseline="0">
                <a:solidFill>
                  <a:srgbClr val="000000"/>
                </a:solidFill>
                <a:latin typeface="Aptos Narrow"/>
              </a:rPr>
              <a:t> your Income</a:t>
            </a:r>
            <a:endParaRPr lang="en-US" sz="1050" b="0" i="0" u="none" strike="noStrike">
              <a:solidFill>
                <a:srgbClr val="000000"/>
              </a:solidFill>
              <a:latin typeface="Aptos Narrow"/>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28</xdr:col>
      <xdr:colOff>321676</xdr:colOff>
      <xdr:row>30</xdr:row>
      <xdr:rowOff>152400</xdr:rowOff>
    </xdr:from>
    <xdr:to>
      <xdr:col>36</xdr:col>
      <xdr:colOff>96982</xdr:colOff>
      <xdr:row>50</xdr:row>
      <xdr:rowOff>115420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6C6C35-A647-4B84-BE04-E6DCD6A458D4}" name="income" displayName="income" ref="C10:C15" totalsRowShown="0" headerRowDxfId="57" dataDxfId="56">
  <autoFilter ref="C10:C15" xr:uid="{726C6C35-A647-4B84-BE04-E6DCD6A458D4}">
    <filterColumn colId="0" hiddenButton="1"/>
  </autoFilter>
  <tableColumns count="1">
    <tableColumn id="1" xr3:uid="{4C68C1C8-8457-4B36-A938-098A3D1CC7A0}" name="Income" dataDxfId="55"/>
  </tableColumns>
  <tableStyleInfo name="income tab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17F08C-CC22-4F2C-A2F7-43CF7E05CFCB}" name="Expenses" displayName="Expenses" ref="C27:C40" totalsRowShown="0" headerRowDxfId="54" dataDxfId="53">
  <autoFilter ref="C27:C40" xr:uid="{0517F08C-CC22-4F2C-A2F7-43CF7E05CFCB}">
    <filterColumn colId="0" hiddenButton="1"/>
  </autoFilter>
  <tableColumns count="1">
    <tableColumn id="1" xr3:uid="{F0FEE0EF-E9BF-4531-BA09-7E22F7461E9D}" name="Expenses" dataDxfId="52"/>
  </tableColumns>
  <tableStyleInfo name="Expenses 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AB6CB1-2B90-4EF5-BB31-61BDCEC767EF}" name="Savings" displayName="Savings" ref="C45:C50" totalsRowShown="0" headerRowDxfId="51" dataDxfId="50">
  <autoFilter ref="C45:C50" xr:uid="{63AB6CB1-2B90-4EF5-BB31-61BDCEC767EF}"/>
  <tableColumns count="1">
    <tableColumn id="1" xr3:uid="{14DF1FF8-1527-4E27-93B7-F0F592251512}" name="Savings" dataDxfId="49"/>
  </tableColumns>
  <tableStyleInfo name="Savings table style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04CB7A-1BDE-4BA0-AA8D-3C21D940EA83}" name="Tracking" displayName="Tracking" ref="C13:I95" totalsRowShown="0" headerRowDxfId="48" dataDxfId="47">
  <autoFilter ref="C13:I95" xr:uid="{6704CB7A-1BDE-4BA0-AA8D-3C21D940EA83}"/>
  <sortState xmlns:xlrd2="http://schemas.microsoft.com/office/spreadsheetml/2017/richdata2" ref="C18:I30">
    <sortCondition ref="C13:C30"/>
  </sortState>
  <tableColumns count="7">
    <tableColumn id="1" xr3:uid="{3E3F29AA-6B48-4810-9B00-004C629028D0}" name="Date" dataDxfId="46"/>
    <tableColumn id="2" xr3:uid="{13BA1156-6578-4F42-B063-A5A7C28DD984}" name="Type" dataDxfId="45"/>
    <tableColumn id="3" xr3:uid="{119E5696-B84C-45FE-8A66-FB2378EE3447}" name="Category" dataDxfId="44"/>
    <tableColumn id="4" xr3:uid="{E981FBB6-6F7E-4F36-89BC-4F055286BF7E}" name="Amount" dataDxfId="43" dataCellStyle="Currency"/>
    <tableColumn id="5" xr3:uid="{33921162-69B1-4717-8A12-31888D863C1D}" name="Details" dataDxfId="42"/>
    <tableColumn id="6" xr3:uid="{26BA3BA7-7861-4C53-857D-DB369EDC2255}" name="Balance" dataDxfId="41">
      <calculatedColumnFormula array="1">SUMPRODUCT(Tracking[Amount], --(Tracking[Date]&lt;=Tracking[[#This Row],[Date]]),(Tracking[Type]&lt;&gt;"Income") * (-1) + (Tracking[Type]="Income"))</calculatedColumnFormula>
    </tableColumn>
    <tableColumn id="7" xr3:uid="{B2863B25-482D-4B89-8E83-D53D9400C538}" name="Effective Date" dataDxfId="40">
      <calculatedColumnFormula>IF(AND(Tracking[[#This Row],[Type]]="Income", Shift_late_income_status="Active", DAY(Tracking[[#This Row],[Date]])&gt;=Shift_late_income_starting_day),
        DATE(YEAR(Tracking[[#This Row],[Date]]), MONTH(Tracking[[#This Row],[Date]])+1, 1),
         Tracking[[#This Row],[Date]])</calculatedColumnFormula>
    </tableColumn>
  </tableColumns>
  <tableStyleInfo name="tracking table sty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BE27F-B18E-45AF-B562-3CAA60A1EAB4}">
  <dimension ref="A1:G29"/>
  <sheetViews>
    <sheetView showGridLines="0" zoomScale="93" workbookViewId="0">
      <selection activeCell="D23" sqref="D23"/>
    </sheetView>
  </sheetViews>
  <sheetFormatPr defaultRowHeight="14.4" x14ac:dyDescent="0.3"/>
  <cols>
    <col min="2" max="2" width="8" customWidth="1"/>
    <col min="3" max="3" width="31.44140625" customWidth="1"/>
    <col min="4" max="4" width="28.21875" customWidth="1"/>
    <col min="5" max="5" width="1.33203125" customWidth="1"/>
    <col min="6" max="6" width="116" customWidth="1"/>
    <col min="7" max="7" width="8.5546875" hidden="1" customWidth="1"/>
  </cols>
  <sheetData>
    <row r="1" spans="1:7" s="1" customFormat="1" ht="45.6" customHeight="1" x14ac:dyDescent="0.45">
      <c r="A1" s="2" t="s">
        <v>0</v>
      </c>
    </row>
    <row r="6" spans="1:7" x14ac:dyDescent="0.3">
      <c r="C6" s="136" t="s">
        <v>1</v>
      </c>
      <c r="D6" s="136"/>
      <c r="E6" s="136"/>
      <c r="F6" s="136"/>
      <c r="G6" s="136"/>
    </row>
    <row r="7" spans="1:7" x14ac:dyDescent="0.3">
      <c r="C7" s="3"/>
      <c r="F7" s="5"/>
      <c r="G7" s="4"/>
    </row>
    <row r="8" spans="1:7" x14ac:dyDescent="0.3">
      <c r="C8" s="9" t="s">
        <v>2</v>
      </c>
      <c r="D8" s="10">
        <v>2024</v>
      </c>
      <c r="F8" s="60" t="s">
        <v>27</v>
      </c>
      <c r="G8" s="4"/>
    </row>
    <row r="9" spans="1:7" x14ac:dyDescent="0.3">
      <c r="C9" s="3"/>
      <c r="F9" s="5"/>
      <c r="G9" s="4"/>
    </row>
    <row r="10" spans="1:7" x14ac:dyDescent="0.3">
      <c r="C10" s="6"/>
      <c r="D10" s="7"/>
      <c r="E10" s="7"/>
      <c r="F10" s="8"/>
    </row>
    <row r="13" spans="1:7" x14ac:dyDescent="0.3">
      <c r="C13" s="136" t="s">
        <v>1</v>
      </c>
      <c r="D13" s="136"/>
      <c r="E13" s="136"/>
      <c r="F13" s="136"/>
      <c r="G13" s="136"/>
    </row>
    <row r="14" spans="1:7" x14ac:dyDescent="0.3">
      <c r="C14" s="3"/>
      <c r="F14" s="5"/>
      <c r="G14" s="4"/>
    </row>
    <row r="15" spans="1:7" x14ac:dyDescent="0.3">
      <c r="C15" s="61" t="s">
        <v>28</v>
      </c>
      <c r="F15" s="5"/>
      <c r="G15" s="4"/>
    </row>
    <row r="16" spans="1:7" x14ac:dyDescent="0.3">
      <c r="C16" s="3"/>
      <c r="F16" s="5"/>
      <c r="G16" s="4"/>
    </row>
    <row r="17" spans="3:7" x14ac:dyDescent="0.3">
      <c r="C17" s="62" t="s">
        <v>29</v>
      </c>
      <c r="D17" s="10" t="s">
        <v>30</v>
      </c>
      <c r="F17" s="137" t="s">
        <v>32</v>
      </c>
      <c r="G17" s="4"/>
    </row>
    <row r="18" spans="3:7" ht="7.8" customHeight="1" x14ac:dyDescent="0.3">
      <c r="C18" s="3"/>
      <c r="F18" s="137"/>
      <c r="G18" s="4"/>
    </row>
    <row r="19" spans="3:7" x14ac:dyDescent="0.3">
      <c r="C19" s="62" t="s">
        <v>31</v>
      </c>
      <c r="D19" s="10">
        <v>20</v>
      </c>
      <c r="F19" s="137"/>
    </row>
    <row r="20" spans="3:7" x14ac:dyDescent="0.3">
      <c r="C20" s="3"/>
      <c r="F20" s="5"/>
    </row>
    <row r="21" spans="3:7" x14ac:dyDescent="0.3">
      <c r="C21" s="61" t="s">
        <v>105</v>
      </c>
      <c r="F21" s="5"/>
    </row>
    <row r="22" spans="3:7" x14ac:dyDescent="0.3">
      <c r="C22" s="3"/>
      <c r="F22" s="5"/>
    </row>
    <row r="23" spans="3:7" x14ac:dyDescent="0.3">
      <c r="C23" s="62" t="s">
        <v>106</v>
      </c>
      <c r="D23" s="10" t="s">
        <v>115</v>
      </c>
      <c r="F23" s="137" t="s">
        <v>107</v>
      </c>
    </row>
    <row r="24" spans="3:7" x14ac:dyDescent="0.3">
      <c r="C24" s="3"/>
      <c r="F24" s="138"/>
    </row>
    <row r="25" spans="3:7" x14ac:dyDescent="0.3">
      <c r="C25" s="3"/>
      <c r="F25" s="138"/>
    </row>
    <row r="26" spans="3:7" x14ac:dyDescent="0.3">
      <c r="C26" s="3"/>
      <c r="F26" s="5"/>
    </row>
    <row r="27" spans="3:7" x14ac:dyDescent="0.3">
      <c r="C27" s="3"/>
      <c r="F27" s="5"/>
    </row>
    <row r="28" spans="3:7" x14ac:dyDescent="0.3">
      <c r="C28" s="3"/>
      <c r="F28" s="5"/>
    </row>
    <row r="29" spans="3:7" x14ac:dyDescent="0.3">
      <c r="C29" s="6"/>
      <c r="D29" s="7"/>
      <c r="E29" s="7"/>
      <c r="F29" s="8"/>
    </row>
  </sheetData>
  <mergeCells count="4">
    <mergeCell ref="C6:G6"/>
    <mergeCell ref="C13:G13"/>
    <mergeCell ref="F17:F19"/>
    <mergeCell ref="F23:F25"/>
  </mergeCells>
  <conditionalFormatting sqref="D19">
    <cfRule type="expression" dxfId="39" priority="1">
      <formula>Shift_late_income_status="Inactive"</formula>
    </cfRule>
    <cfRule type="expression" dxfId="38" priority="2">
      <formula>Shift_late_income_status="Inactive"</formula>
    </cfRule>
  </conditionalFormatting>
  <dataValidations count="2">
    <dataValidation type="list" allowBlank="1" showInputMessage="1" showErrorMessage="1" sqref="D17" xr:uid="{8E7CB330-704F-4995-AFA2-4534D65EA15A}">
      <formula1>"Active, Inactive"</formula1>
    </dataValidation>
    <dataValidation type="list" allowBlank="1" showInputMessage="1" showErrorMessage="1" sqref="D23" xr:uid="{C930CBAD-5CD2-4A8A-941E-295F865F9434}">
      <formula1>"% allocated to Savings, % not allocated to Expenses"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79241-7689-4208-B7E5-C0D88418087B}">
  <dimension ref="A1:DZ61"/>
  <sheetViews>
    <sheetView showGridLines="0" tabSelected="1" zoomScale="84" zoomScaleNormal="115" workbookViewId="0">
      <selection activeCell="B26" sqref="B26"/>
    </sheetView>
  </sheetViews>
  <sheetFormatPr defaultRowHeight="14.4" outlineLevelCol="1" x14ac:dyDescent="0.3"/>
  <cols>
    <col min="3" max="3" width="33.6640625" customWidth="1"/>
    <col min="4" max="4" width="1" customWidth="1"/>
    <col min="5" max="16" width="11" customWidth="1" outlineLevel="1"/>
    <col min="17" max="17" width="11" customWidth="1"/>
    <col min="18" max="18" width="5.5546875" customWidth="1"/>
    <col min="19" max="30" width="11" hidden="1" customWidth="1" outlineLevel="1"/>
    <col min="31" max="31" width="11" customWidth="1" collapsed="1"/>
    <col min="32" max="32" width="1.21875" customWidth="1"/>
    <col min="33" max="44" width="11" hidden="1" customWidth="1" outlineLevel="1"/>
    <col min="45" max="45" width="11" customWidth="1" collapsed="1"/>
    <col min="46" max="46" width="1.21875" customWidth="1"/>
    <col min="47" max="58" width="11" hidden="1" customWidth="1" outlineLevel="1"/>
    <col min="59" max="59" width="11" customWidth="1" collapsed="1"/>
    <col min="60" max="60" width="1.21875" customWidth="1"/>
    <col min="61" max="72" width="11" hidden="1" customWidth="1" outlineLevel="1"/>
    <col min="73" max="73" width="11" customWidth="1" collapsed="1"/>
    <col min="74" max="74" width="1.21875" customWidth="1"/>
    <col min="75" max="86" width="11" hidden="1" customWidth="1" outlineLevel="1"/>
    <col min="87" max="87" width="11" customWidth="1" collapsed="1"/>
    <col min="88" max="88" width="1.21875" customWidth="1"/>
    <col min="89" max="100" width="11" hidden="1" customWidth="1" outlineLevel="1"/>
    <col min="101" max="101" width="11" customWidth="1" collapsed="1"/>
    <col min="102" max="102" width="1.21875" customWidth="1"/>
    <col min="103" max="114" width="11" hidden="1" customWidth="1" outlineLevel="1"/>
    <col min="115" max="115" width="11" customWidth="1" collapsed="1"/>
    <col min="116" max="116" width="1.21875" customWidth="1"/>
    <col min="117" max="128" width="11" hidden="1" customWidth="1" outlineLevel="1"/>
    <col min="129" max="129" width="11" customWidth="1" collapsed="1"/>
    <col min="130" max="130" width="1.21875" customWidth="1"/>
  </cols>
  <sheetData>
    <row r="1" spans="1:130" ht="23.4" customHeight="1"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row>
    <row r="2" spans="1:130" ht="30.6" customHeight="1" x14ac:dyDescent="0.3">
      <c r="A2" s="25" t="s">
        <v>3</v>
      </c>
      <c r="B2" s="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row>
    <row r="5" spans="1:130" x14ac:dyDescent="0.3">
      <c r="C5" s="30" t="s">
        <v>16</v>
      </c>
      <c r="D5" s="31"/>
      <c r="E5" s="139">
        <v>2024</v>
      </c>
      <c r="F5" s="139"/>
      <c r="G5" s="139"/>
      <c r="H5" s="139"/>
      <c r="I5" s="139"/>
      <c r="J5" s="139"/>
      <c r="K5" s="139"/>
      <c r="L5" s="139"/>
      <c r="M5" s="139"/>
      <c r="N5" s="139"/>
      <c r="O5" s="139"/>
      <c r="P5" s="139"/>
      <c r="Q5" s="139"/>
      <c r="S5" s="136">
        <f>E5+1</f>
        <v>2025</v>
      </c>
      <c r="T5" s="136"/>
      <c r="U5" s="136"/>
      <c r="V5" s="136"/>
      <c r="W5" s="136"/>
      <c r="X5" s="136"/>
      <c r="Y5" s="136"/>
      <c r="Z5" s="136"/>
      <c r="AA5" s="136"/>
      <c r="AB5" s="136"/>
      <c r="AC5" s="136"/>
      <c r="AD5" s="136"/>
      <c r="AE5" s="136"/>
      <c r="AG5" s="136">
        <f t="shared" ref="AG5" si="0">S5+1</f>
        <v>2026</v>
      </c>
      <c r="AH5" s="136"/>
      <c r="AI5" s="136"/>
      <c r="AJ5" s="136"/>
      <c r="AK5" s="136"/>
      <c r="AL5" s="136"/>
      <c r="AM5" s="136"/>
      <c r="AN5" s="136"/>
      <c r="AO5" s="136"/>
      <c r="AP5" s="136"/>
      <c r="AQ5" s="136"/>
      <c r="AR5" s="136"/>
      <c r="AS5" s="136"/>
      <c r="AU5" s="136">
        <f t="shared" ref="AU5" si="1">AG5+1</f>
        <v>2027</v>
      </c>
      <c r="AV5" s="136"/>
      <c r="AW5" s="136"/>
      <c r="AX5" s="136"/>
      <c r="AY5" s="136"/>
      <c r="AZ5" s="136"/>
      <c r="BA5" s="136"/>
      <c r="BB5" s="136"/>
      <c r="BC5" s="136"/>
      <c r="BD5" s="136"/>
      <c r="BE5" s="136"/>
      <c r="BF5" s="136"/>
      <c r="BG5" s="136"/>
      <c r="BI5" s="136">
        <f t="shared" ref="BI5" si="2">AU5+1</f>
        <v>2028</v>
      </c>
      <c r="BJ5" s="136"/>
      <c r="BK5" s="136"/>
      <c r="BL5" s="136"/>
      <c r="BM5" s="136"/>
      <c r="BN5" s="136"/>
      <c r="BO5" s="136"/>
      <c r="BP5" s="136"/>
      <c r="BQ5" s="136"/>
      <c r="BR5" s="136"/>
      <c r="BS5" s="136"/>
      <c r="BT5" s="136"/>
      <c r="BU5" s="136"/>
      <c r="BW5" s="136">
        <f t="shared" ref="BW5" si="3">BI5+1</f>
        <v>2029</v>
      </c>
      <c r="BX5" s="136"/>
      <c r="BY5" s="136"/>
      <c r="BZ5" s="136"/>
      <c r="CA5" s="136"/>
      <c r="CB5" s="136"/>
      <c r="CC5" s="136"/>
      <c r="CD5" s="136"/>
      <c r="CE5" s="136"/>
      <c r="CF5" s="136"/>
      <c r="CG5" s="136"/>
      <c r="CH5" s="136"/>
      <c r="CI5" s="136"/>
      <c r="CK5" s="136">
        <f t="shared" ref="CK5" si="4">BW5+1</f>
        <v>2030</v>
      </c>
      <c r="CL5" s="136"/>
      <c r="CM5" s="136"/>
      <c r="CN5" s="136"/>
      <c r="CO5" s="136"/>
      <c r="CP5" s="136"/>
      <c r="CQ5" s="136"/>
      <c r="CR5" s="136"/>
      <c r="CS5" s="136"/>
      <c r="CT5" s="136"/>
      <c r="CU5" s="136"/>
      <c r="CV5" s="136"/>
      <c r="CW5" s="136"/>
      <c r="CY5" s="136">
        <f t="shared" ref="CY5" si="5">CK5+1</f>
        <v>2031</v>
      </c>
      <c r="CZ5" s="136"/>
      <c r="DA5" s="136"/>
      <c r="DB5" s="136"/>
      <c r="DC5" s="136"/>
      <c r="DD5" s="136"/>
      <c r="DE5" s="136"/>
      <c r="DF5" s="136"/>
      <c r="DG5" s="136"/>
      <c r="DH5" s="136"/>
      <c r="DI5" s="136"/>
      <c r="DJ5" s="136"/>
      <c r="DK5" s="136"/>
      <c r="DM5" s="136">
        <f t="shared" ref="DM5" si="6">CY5+1</f>
        <v>2032</v>
      </c>
      <c r="DN5" s="136"/>
      <c r="DO5" s="136"/>
      <c r="DP5" s="136"/>
      <c r="DQ5" s="136"/>
      <c r="DR5" s="136"/>
      <c r="DS5" s="136"/>
      <c r="DT5" s="136"/>
      <c r="DU5" s="136"/>
      <c r="DV5" s="136"/>
      <c r="DW5" s="136"/>
      <c r="DX5" s="136"/>
      <c r="DY5" s="136"/>
    </row>
    <row r="6" spans="1:130" x14ac:dyDescent="0.3">
      <c r="C6" s="31"/>
      <c r="D6" s="31"/>
      <c r="E6" s="32" t="str">
        <f>IF(E7=0,"Jan √","Jan")</f>
        <v>Jan</v>
      </c>
      <c r="F6" s="32" t="str">
        <f>IF(F7=0,"Feb √","Feb")</f>
        <v>Feb</v>
      </c>
      <c r="G6" s="32" t="str">
        <f>IF(G7=0,"Mar√","Mar")</f>
        <v>Mar</v>
      </c>
      <c r="H6" s="32" t="str">
        <f>IF(H7=0,"Apr √","Apr")</f>
        <v>Apr</v>
      </c>
      <c r="I6" s="32" t="str">
        <f>IF(I7=0,"May √","May")</f>
        <v>May</v>
      </c>
      <c r="J6" s="32" t="str">
        <f>IF(J7=0,"Jun√","Jun")</f>
        <v>Jun</v>
      </c>
      <c r="K6" s="32" t="str">
        <f>IF(K7=0,"Jul √","Jul")</f>
        <v>Jul</v>
      </c>
      <c r="L6" s="32" t="str">
        <f>IF(L7=0,"Aug √","Aug")</f>
        <v>Aug</v>
      </c>
      <c r="M6" s="32" t="str">
        <f>IF(M7=0,"Sep √","Sep")</f>
        <v>Sep</v>
      </c>
      <c r="N6" s="32" t="str">
        <f>IF(N7=0,"Oct√","Oct")</f>
        <v>Oct</v>
      </c>
      <c r="O6" s="32" t="str">
        <f>IF(O7=0,"Nov√","Nov")</f>
        <v>Nov</v>
      </c>
      <c r="P6" s="32" t="str">
        <f>IF(P7=0,"Dec√","Dec")</f>
        <v>Dec</v>
      </c>
      <c r="Q6" s="32" t="str">
        <f ca="1">IF(Q7=0,"Total√","Total")</f>
        <v>Total</v>
      </c>
      <c r="S6" s="23" t="str">
        <f>IF(S7=0,"Jan √","Jan")</f>
        <v>Jan √</v>
      </c>
      <c r="T6" s="23" t="str">
        <f ca="1">IF(T7=0,"Feb √","Feb")</f>
        <v>Feb</v>
      </c>
      <c r="U6" s="23" t="str">
        <f ca="1">IF(U7=0,"Mar√","Mar")</f>
        <v>Mar</v>
      </c>
      <c r="V6" s="23" t="str">
        <f ca="1">IF(V7=0,"Apr √","Apr")</f>
        <v>Apr</v>
      </c>
      <c r="W6" s="23" t="str">
        <f ca="1">IF(W7=0,"May √","May")</f>
        <v>May</v>
      </c>
      <c r="X6" s="23" t="str">
        <f ca="1">IF(X7=0,"Jun√","Jun")</f>
        <v>Jun</v>
      </c>
      <c r="Y6" s="23" t="str">
        <f ca="1">IF(Y7=0,"Jul √","Jul")</f>
        <v>Jul</v>
      </c>
      <c r="Z6" s="23" t="str">
        <f ca="1">IF(Z7=0,"Aug √","Aug")</f>
        <v>Aug</v>
      </c>
      <c r="AA6" s="23" t="str">
        <f ca="1">IF(AA7=0,"Sep √","Sep")</f>
        <v>Sep</v>
      </c>
      <c r="AB6" s="23" t="str">
        <f ca="1">IF(AB7=0,"Oct√","Oct")</f>
        <v>Oct</v>
      </c>
      <c r="AC6" s="23" t="str">
        <f ca="1">IF(AC7=0,"Nov√","Nov")</f>
        <v>Nov</v>
      </c>
      <c r="AD6" s="23" t="str">
        <f ca="1">IF(AD7=0,"Dec√","Dec")</f>
        <v>Dec</v>
      </c>
      <c r="AE6" s="23" t="str">
        <f ca="1">IF(AE7=0,"Total√","Total")</f>
        <v>Total</v>
      </c>
      <c r="AG6" s="23" t="str">
        <f t="shared" ref="AG6" si="7">IF(AG7=0,"Jan √","Jan")</f>
        <v>Jan √</v>
      </c>
      <c r="AH6" s="23" t="str">
        <f t="shared" ref="AH6" ca="1" si="8">IF(AH7=0,"Feb √","Feb")</f>
        <v>Feb</v>
      </c>
      <c r="AI6" s="23" t="str">
        <f t="shared" ref="AI6" ca="1" si="9">IF(AI7=0,"Mar√","Mar")</f>
        <v>Mar</v>
      </c>
      <c r="AJ6" s="23" t="str">
        <f t="shared" ref="AJ6" ca="1" si="10">IF(AJ7=0,"Apr √","Apr")</f>
        <v>Apr</v>
      </c>
      <c r="AK6" s="23" t="str">
        <f t="shared" ref="AK6" ca="1" si="11">IF(AK7=0,"May √","May")</f>
        <v>May</v>
      </c>
      <c r="AL6" s="23" t="str">
        <f t="shared" ref="AL6" ca="1" si="12">IF(AL7=0,"Jun√","Jun")</f>
        <v>Jun</v>
      </c>
      <c r="AM6" s="23" t="str">
        <f t="shared" ref="AM6" ca="1" si="13">IF(AM7=0,"Jul √","Jul")</f>
        <v>Jul</v>
      </c>
      <c r="AN6" s="23" t="str">
        <f t="shared" ref="AN6" ca="1" si="14">IF(AN7=0,"Aug √","Aug")</f>
        <v>Aug</v>
      </c>
      <c r="AO6" s="23" t="str">
        <f t="shared" ref="AO6" ca="1" si="15">IF(AO7=0,"Sep √","Sep")</f>
        <v>Sep</v>
      </c>
      <c r="AP6" s="23" t="str">
        <f t="shared" ref="AP6" ca="1" si="16">IF(AP7=0,"Oct√","Oct")</f>
        <v>Oct</v>
      </c>
      <c r="AQ6" s="23" t="str">
        <f t="shared" ref="AQ6" ca="1" si="17">IF(AQ7=0,"Nov√","Nov")</f>
        <v>Nov</v>
      </c>
      <c r="AR6" s="23" t="str">
        <f t="shared" ref="AR6" ca="1" si="18">IF(AR7=0,"Dec√","Dec")</f>
        <v>Dec</v>
      </c>
      <c r="AS6" s="23" t="str">
        <f t="shared" ref="AS6" ca="1" si="19">IF(AS7=0,"Total√","Total")</f>
        <v>Total</v>
      </c>
      <c r="AU6" s="23" t="str">
        <f t="shared" ref="AU6" si="20">IF(AU7=0,"Jan √","Jan")</f>
        <v>Jan √</v>
      </c>
      <c r="AV6" s="23" t="str">
        <f t="shared" ref="AV6" ca="1" si="21">IF(AV7=0,"Feb √","Feb")</f>
        <v>Feb</v>
      </c>
      <c r="AW6" s="23" t="str">
        <f t="shared" ref="AW6" ca="1" si="22">IF(AW7=0,"Mar√","Mar")</f>
        <v>Mar</v>
      </c>
      <c r="AX6" s="23" t="str">
        <f t="shared" ref="AX6" ca="1" si="23">IF(AX7=0,"Apr √","Apr")</f>
        <v>Apr</v>
      </c>
      <c r="AY6" s="23" t="str">
        <f t="shared" ref="AY6" ca="1" si="24">IF(AY7=0,"May √","May")</f>
        <v>May</v>
      </c>
      <c r="AZ6" s="23" t="str">
        <f t="shared" ref="AZ6" ca="1" si="25">IF(AZ7=0,"Jun√","Jun")</f>
        <v>Jun</v>
      </c>
      <c r="BA6" s="23" t="str">
        <f t="shared" ref="BA6" ca="1" si="26">IF(BA7=0,"Jul √","Jul")</f>
        <v>Jul</v>
      </c>
      <c r="BB6" s="23" t="str">
        <f t="shared" ref="BB6" ca="1" si="27">IF(BB7=0,"Aug √","Aug")</f>
        <v>Aug</v>
      </c>
      <c r="BC6" s="23" t="str">
        <f t="shared" ref="BC6" ca="1" si="28">IF(BC7=0,"Sep √","Sep")</f>
        <v>Sep</v>
      </c>
      <c r="BD6" s="23" t="str">
        <f t="shared" ref="BD6" ca="1" si="29">IF(BD7=0,"Oct√","Oct")</f>
        <v>Oct</v>
      </c>
      <c r="BE6" s="23" t="str">
        <f t="shared" ref="BE6" ca="1" si="30">IF(BE7=0,"Nov√","Nov")</f>
        <v>Nov</v>
      </c>
      <c r="BF6" s="23" t="str">
        <f t="shared" ref="BF6" ca="1" si="31">IF(BF7=0,"Dec√","Dec")</f>
        <v>Dec</v>
      </c>
      <c r="BG6" s="23" t="str">
        <f t="shared" ref="BG6" ca="1" si="32">IF(BG7=0,"Total√","Total")</f>
        <v>Total</v>
      </c>
      <c r="BI6" s="23" t="str">
        <f t="shared" ref="BI6" si="33">IF(BI7=0,"Jan √","Jan")</f>
        <v>Jan √</v>
      </c>
      <c r="BJ6" s="23" t="str">
        <f t="shared" ref="BJ6" ca="1" si="34">IF(BJ7=0,"Feb √","Feb")</f>
        <v>Feb</v>
      </c>
      <c r="BK6" s="23" t="str">
        <f t="shared" ref="BK6" ca="1" si="35">IF(BK7=0,"Mar√","Mar")</f>
        <v>Mar</v>
      </c>
      <c r="BL6" s="23" t="str">
        <f t="shared" ref="BL6" ca="1" si="36">IF(BL7=0,"Apr √","Apr")</f>
        <v>Apr</v>
      </c>
      <c r="BM6" s="23" t="str">
        <f t="shared" ref="BM6" ca="1" si="37">IF(BM7=0,"May √","May")</f>
        <v>May</v>
      </c>
      <c r="BN6" s="23" t="str">
        <f t="shared" ref="BN6" ca="1" si="38">IF(BN7=0,"Jun√","Jun")</f>
        <v>Jun</v>
      </c>
      <c r="BO6" s="23" t="str">
        <f t="shared" ref="BO6" ca="1" si="39">IF(BO7=0,"Jul √","Jul")</f>
        <v>Jul</v>
      </c>
      <c r="BP6" s="23" t="str">
        <f t="shared" ref="BP6" ca="1" si="40">IF(BP7=0,"Aug √","Aug")</f>
        <v>Aug</v>
      </c>
      <c r="BQ6" s="23" t="str">
        <f t="shared" ref="BQ6" ca="1" si="41">IF(BQ7=0,"Sep √","Sep")</f>
        <v>Sep</v>
      </c>
      <c r="BR6" s="23" t="str">
        <f t="shared" ref="BR6" ca="1" si="42">IF(BR7=0,"Oct√","Oct")</f>
        <v>Oct</v>
      </c>
      <c r="BS6" s="23" t="str">
        <f t="shared" ref="BS6" ca="1" si="43">IF(BS7=0,"Nov√","Nov")</f>
        <v>Nov</v>
      </c>
      <c r="BT6" s="23" t="str">
        <f t="shared" ref="BT6" ca="1" si="44">IF(BT7=0,"Dec√","Dec")</f>
        <v>Dec</v>
      </c>
      <c r="BU6" s="23" t="str">
        <f t="shared" ref="BU6" ca="1" si="45">IF(BU7=0,"Total√","Total")</f>
        <v>Total</v>
      </c>
      <c r="BW6" s="23" t="str">
        <f t="shared" ref="BW6" si="46">IF(BW7=0,"Jan √","Jan")</f>
        <v>Jan √</v>
      </c>
      <c r="BX6" s="23" t="str">
        <f t="shared" ref="BX6" ca="1" si="47">IF(BX7=0,"Feb √","Feb")</f>
        <v>Feb</v>
      </c>
      <c r="BY6" s="23" t="str">
        <f t="shared" ref="BY6" ca="1" si="48">IF(BY7=0,"Mar√","Mar")</f>
        <v>Mar</v>
      </c>
      <c r="BZ6" s="23" t="str">
        <f t="shared" ref="BZ6" ca="1" si="49">IF(BZ7=0,"Apr √","Apr")</f>
        <v>Apr</v>
      </c>
      <c r="CA6" s="23" t="str">
        <f t="shared" ref="CA6" ca="1" si="50">IF(CA7=0,"May √","May")</f>
        <v>May</v>
      </c>
      <c r="CB6" s="23" t="str">
        <f t="shared" ref="CB6" ca="1" si="51">IF(CB7=0,"Jun√","Jun")</f>
        <v>Jun</v>
      </c>
      <c r="CC6" s="23" t="str">
        <f t="shared" ref="CC6" ca="1" si="52">IF(CC7=0,"Jul √","Jul")</f>
        <v>Jul</v>
      </c>
      <c r="CD6" s="23" t="str">
        <f t="shared" ref="CD6" ca="1" si="53">IF(CD7=0,"Aug √","Aug")</f>
        <v>Aug</v>
      </c>
      <c r="CE6" s="23" t="str">
        <f t="shared" ref="CE6" ca="1" si="54">IF(CE7=0,"Sep √","Sep")</f>
        <v>Sep</v>
      </c>
      <c r="CF6" s="23" t="str">
        <f t="shared" ref="CF6" ca="1" si="55">IF(CF7=0,"Oct√","Oct")</f>
        <v>Oct</v>
      </c>
      <c r="CG6" s="23" t="str">
        <f t="shared" ref="CG6" ca="1" si="56">IF(CG7=0,"Nov√","Nov")</f>
        <v>Nov</v>
      </c>
      <c r="CH6" s="23" t="str">
        <f t="shared" ref="CH6" ca="1" si="57">IF(CH7=0,"Dec√","Dec")</f>
        <v>Dec</v>
      </c>
      <c r="CI6" s="23" t="str">
        <f t="shared" ref="CI6" ca="1" si="58">IF(CI7=0,"Total√","Total")</f>
        <v>Total</v>
      </c>
      <c r="CK6" s="23" t="str">
        <f t="shared" ref="CK6" si="59">IF(CK7=0,"Jan √","Jan")</f>
        <v>Jan √</v>
      </c>
      <c r="CL6" s="23" t="str">
        <f t="shared" ref="CL6" ca="1" si="60">IF(CL7=0,"Feb √","Feb")</f>
        <v>Feb</v>
      </c>
      <c r="CM6" s="23" t="str">
        <f t="shared" ref="CM6" ca="1" si="61">IF(CM7=0,"Mar√","Mar")</f>
        <v>Mar</v>
      </c>
      <c r="CN6" s="23" t="str">
        <f t="shared" ref="CN6" ca="1" si="62">IF(CN7=0,"Apr √","Apr")</f>
        <v>Apr</v>
      </c>
      <c r="CO6" s="23" t="str">
        <f t="shared" ref="CO6" ca="1" si="63">IF(CO7=0,"May √","May")</f>
        <v>May</v>
      </c>
      <c r="CP6" s="23" t="str">
        <f t="shared" ref="CP6" ca="1" si="64">IF(CP7=0,"Jun√","Jun")</f>
        <v>Jun</v>
      </c>
      <c r="CQ6" s="23" t="str">
        <f t="shared" ref="CQ6" ca="1" si="65">IF(CQ7=0,"Jul √","Jul")</f>
        <v>Jul</v>
      </c>
      <c r="CR6" s="23" t="str">
        <f t="shared" ref="CR6" ca="1" si="66">IF(CR7=0,"Aug √","Aug")</f>
        <v>Aug</v>
      </c>
      <c r="CS6" s="23" t="str">
        <f t="shared" ref="CS6" ca="1" si="67">IF(CS7=0,"Sep √","Sep")</f>
        <v>Sep</v>
      </c>
      <c r="CT6" s="23" t="str">
        <f t="shared" ref="CT6" ca="1" si="68">IF(CT7=0,"Oct√","Oct")</f>
        <v>Oct</v>
      </c>
      <c r="CU6" s="23" t="str">
        <f t="shared" ref="CU6" ca="1" si="69">IF(CU7=0,"Nov√","Nov")</f>
        <v>Nov</v>
      </c>
      <c r="CV6" s="23" t="str">
        <f t="shared" ref="CV6" ca="1" si="70">IF(CV7=0,"Dec√","Dec")</f>
        <v>Dec</v>
      </c>
      <c r="CW6" s="23" t="str">
        <f t="shared" ref="CW6" ca="1" si="71">IF(CW7=0,"Total√","Total")</f>
        <v>Total</v>
      </c>
      <c r="CY6" s="23" t="str">
        <f t="shared" ref="CY6" si="72">IF(CY7=0,"Jan √","Jan")</f>
        <v>Jan √</v>
      </c>
      <c r="CZ6" s="23" t="str">
        <f t="shared" ref="CZ6" ca="1" si="73">IF(CZ7=0,"Feb √","Feb")</f>
        <v>Feb</v>
      </c>
      <c r="DA6" s="23" t="str">
        <f t="shared" ref="DA6" ca="1" si="74">IF(DA7=0,"Mar√","Mar")</f>
        <v>Mar</v>
      </c>
      <c r="DB6" s="23" t="str">
        <f t="shared" ref="DB6" ca="1" si="75">IF(DB7=0,"Apr √","Apr")</f>
        <v>Apr</v>
      </c>
      <c r="DC6" s="23" t="str">
        <f t="shared" ref="DC6" ca="1" si="76">IF(DC7=0,"May √","May")</f>
        <v>May</v>
      </c>
      <c r="DD6" s="23" t="str">
        <f t="shared" ref="DD6" ca="1" si="77">IF(DD7=0,"Jun√","Jun")</f>
        <v>Jun</v>
      </c>
      <c r="DE6" s="23" t="str">
        <f t="shared" ref="DE6" ca="1" si="78">IF(DE7=0,"Jul √","Jul")</f>
        <v>Jul</v>
      </c>
      <c r="DF6" s="23" t="str">
        <f t="shared" ref="DF6" ca="1" si="79">IF(DF7=0,"Aug √","Aug")</f>
        <v>Aug</v>
      </c>
      <c r="DG6" s="23" t="str">
        <f t="shared" ref="DG6" ca="1" si="80">IF(DG7=0,"Sep √","Sep")</f>
        <v>Sep</v>
      </c>
      <c r="DH6" s="23" t="str">
        <f t="shared" ref="DH6" ca="1" si="81">IF(DH7=0,"Oct√","Oct")</f>
        <v>Oct</v>
      </c>
      <c r="DI6" s="23" t="str">
        <f t="shared" ref="DI6" ca="1" si="82">IF(DI7=0,"Nov√","Nov")</f>
        <v>Nov</v>
      </c>
      <c r="DJ6" s="23" t="str">
        <f t="shared" ref="DJ6" ca="1" si="83">IF(DJ7=0,"Dec√","Dec")</f>
        <v>Dec</v>
      </c>
      <c r="DK6" s="23" t="str">
        <f t="shared" ref="DK6" ca="1" si="84">IF(DK7=0,"Total√","Total")</f>
        <v>Total</v>
      </c>
      <c r="DM6" s="23" t="str">
        <f t="shared" ref="DM6" si="85">IF(DM7=0,"Jan √","Jan")</f>
        <v>Jan √</v>
      </c>
      <c r="DN6" s="23" t="str">
        <f t="shared" ref="DN6" ca="1" si="86">IF(DN7=0,"Feb √","Feb")</f>
        <v>Feb</v>
      </c>
      <c r="DO6" s="23" t="str">
        <f t="shared" ref="DO6" ca="1" si="87">IF(DO7=0,"Mar√","Mar")</f>
        <v>Mar</v>
      </c>
      <c r="DP6" s="23" t="str">
        <f t="shared" ref="DP6" ca="1" si="88">IF(DP7=0,"Apr √","Apr")</f>
        <v>Apr</v>
      </c>
      <c r="DQ6" s="23" t="str">
        <f t="shared" ref="DQ6" ca="1" si="89">IF(DQ7=0,"May √","May")</f>
        <v>May</v>
      </c>
      <c r="DR6" s="23" t="str">
        <f t="shared" ref="DR6" ca="1" si="90">IF(DR7=0,"Jun√","Jun")</f>
        <v>Jun</v>
      </c>
      <c r="DS6" s="23" t="str">
        <f t="shared" ref="DS6" ca="1" si="91">IF(DS7=0,"Jul √","Jul")</f>
        <v>Jul</v>
      </c>
      <c r="DT6" s="23" t="str">
        <f t="shared" ref="DT6" ca="1" si="92">IF(DT7=0,"Aug √","Aug")</f>
        <v>Aug</v>
      </c>
      <c r="DU6" s="23" t="str">
        <f t="shared" ref="DU6" ca="1" si="93">IF(DU7=0,"Sep √","Sep")</f>
        <v>Sep</v>
      </c>
      <c r="DV6" s="23" t="str">
        <f t="shared" ref="DV6" ca="1" si="94">IF(DV7=0,"Oct√","Oct")</f>
        <v>Oct</v>
      </c>
      <c r="DW6" s="23" t="str">
        <f t="shared" ref="DW6" ca="1" si="95">IF(DW7=0,"Nov√","Nov")</f>
        <v>Nov</v>
      </c>
      <c r="DX6" s="23" t="str">
        <f t="shared" ref="DX6" ca="1" si="96">IF(DX7=0,"Dec√","Dec")</f>
        <v>Dec</v>
      </c>
      <c r="DY6" s="23" t="str">
        <f t="shared" ref="DY6" ca="1" si="97">IF(DY7=0,"Total√","Total")</f>
        <v>Total</v>
      </c>
    </row>
    <row r="7" spans="1:130" ht="15.6" x14ac:dyDescent="0.3">
      <c r="C7" s="33" t="s">
        <v>17</v>
      </c>
      <c r="D7" s="31"/>
      <c r="E7" s="34">
        <v>2500</v>
      </c>
      <c r="F7" s="34">
        <v>4000</v>
      </c>
      <c r="G7" s="34">
        <v>4000</v>
      </c>
      <c r="H7" s="34">
        <v>4000</v>
      </c>
      <c r="I7" s="34">
        <v>4000</v>
      </c>
      <c r="J7" s="34">
        <v>4000</v>
      </c>
      <c r="K7" s="34">
        <v>4000</v>
      </c>
      <c r="L7" s="34">
        <v>4000</v>
      </c>
      <c r="M7" s="34">
        <v>4000</v>
      </c>
      <c r="N7" s="34">
        <v>4000</v>
      </c>
      <c r="O7" s="34">
        <v>4000</v>
      </c>
      <c r="P7" s="34">
        <v>4000</v>
      </c>
      <c r="Q7" s="35">
        <f ca="1">Q23-(Q41+Q58)</f>
        <v>-320</v>
      </c>
      <c r="S7" s="21"/>
      <c r="T7" s="21">
        <f t="shared" ref="T7:AE7" ca="1" si="98">T23-(T41+T58)</f>
        <v>-10</v>
      </c>
      <c r="U7" s="21">
        <f t="shared" ca="1" si="98"/>
        <v>-10</v>
      </c>
      <c r="V7" s="21">
        <f t="shared" ca="1" si="98"/>
        <v>-10</v>
      </c>
      <c r="W7" s="21">
        <f t="shared" ca="1" si="98"/>
        <v>-10</v>
      </c>
      <c r="X7" s="21">
        <f t="shared" ca="1" si="98"/>
        <v>-10</v>
      </c>
      <c r="Y7" s="21">
        <f t="shared" ca="1" si="98"/>
        <v>-10</v>
      </c>
      <c r="Z7" s="21">
        <f t="shared" ca="1" si="98"/>
        <v>-10</v>
      </c>
      <c r="AA7" s="21">
        <f t="shared" ca="1" si="98"/>
        <v>-10</v>
      </c>
      <c r="AB7" s="21">
        <f t="shared" ca="1" si="98"/>
        <v>-10</v>
      </c>
      <c r="AC7" s="21">
        <f t="shared" ca="1" si="98"/>
        <v>-10</v>
      </c>
      <c r="AD7" s="21">
        <f t="shared" ca="1" si="98"/>
        <v>-10</v>
      </c>
      <c r="AE7" s="22">
        <f t="shared" ca="1" si="98"/>
        <v>1001</v>
      </c>
      <c r="AG7" s="21"/>
      <c r="AH7" s="21">
        <f t="shared" ref="AH7:AS7" ca="1" si="99">AH23-(AH41+AH58)</f>
        <v>-10</v>
      </c>
      <c r="AI7" s="21">
        <f t="shared" ca="1" si="99"/>
        <v>-10</v>
      </c>
      <c r="AJ7" s="21">
        <f t="shared" ca="1" si="99"/>
        <v>-10</v>
      </c>
      <c r="AK7" s="21">
        <f t="shared" ca="1" si="99"/>
        <v>-10</v>
      </c>
      <c r="AL7" s="21">
        <f t="shared" ca="1" si="99"/>
        <v>-10</v>
      </c>
      <c r="AM7" s="21">
        <f t="shared" ca="1" si="99"/>
        <v>-10</v>
      </c>
      <c r="AN7" s="21">
        <f t="shared" ca="1" si="99"/>
        <v>-10</v>
      </c>
      <c r="AO7" s="21">
        <f t="shared" ca="1" si="99"/>
        <v>-10</v>
      </c>
      <c r="AP7" s="21">
        <f t="shared" ca="1" si="99"/>
        <v>-10</v>
      </c>
      <c r="AQ7" s="21">
        <f t="shared" ca="1" si="99"/>
        <v>-10</v>
      </c>
      <c r="AR7" s="21">
        <f t="shared" ca="1" si="99"/>
        <v>-10</v>
      </c>
      <c r="AS7" s="22">
        <f t="shared" ca="1" si="99"/>
        <v>1002</v>
      </c>
      <c r="AU7" s="21"/>
      <c r="AV7" s="21">
        <f t="shared" ref="AV7:BG7" ca="1" si="100">AV23-(AV41+AV58)</f>
        <v>-10</v>
      </c>
      <c r="AW7" s="21">
        <f t="shared" ca="1" si="100"/>
        <v>-10</v>
      </c>
      <c r="AX7" s="21">
        <f t="shared" ca="1" si="100"/>
        <v>-10</v>
      </c>
      <c r="AY7" s="21">
        <f t="shared" ca="1" si="100"/>
        <v>-10</v>
      </c>
      <c r="AZ7" s="21">
        <f t="shared" ca="1" si="100"/>
        <v>-10</v>
      </c>
      <c r="BA7" s="21">
        <f t="shared" ca="1" si="100"/>
        <v>-10</v>
      </c>
      <c r="BB7" s="21">
        <f t="shared" ca="1" si="100"/>
        <v>-10</v>
      </c>
      <c r="BC7" s="21">
        <f t="shared" ca="1" si="100"/>
        <v>-10</v>
      </c>
      <c r="BD7" s="21">
        <f t="shared" ca="1" si="100"/>
        <v>-10</v>
      </c>
      <c r="BE7" s="21">
        <f t="shared" ca="1" si="100"/>
        <v>-10</v>
      </c>
      <c r="BF7" s="21">
        <f t="shared" ca="1" si="100"/>
        <v>-10</v>
      </c>
      <c r="BG7" s="22">
        <f t="shared" ca="1" si="100"/>
        <v>1003</v>
      </c>
      <c r="BI7" s="21"/>
      <c r="BJ7" s="21">
        <f t="shared" ref="BJ7:BU7" ca="1" si="101">BJ23-(BJ41+BJ58)</f>
        <v>-10</v>
      </c>
      <c r="BK7" s="21">
        <f t="shared" ca="1" si="101"/>
        <v>-10</v>
      </c>
      <c r="BL7" s="21">
        <f t="shared" ca="1" si="101"/>
        <v>-10</v>
      </c>
      <c r="BM7" s="21">
        <f t="shared" ca="1" si="101"/>
        <v>-10</v>
      </c>
      <c r="BN7" s="21">
        <f t="shared" ca="1" si="101"/>
        <v>-10</v>
      </c>
      <c r="BO7" s="21">
        <f t="shared" ca="1" si="101"/>
        <v>-10</v>
      </c>
      <c r="BP7" s="21">
        <f t="shared" ca="1" si="101"/>
        <v>-10</v>
      </c>
      <c r="BQ7" s="21">
        <f t="shared" ca="1" si="101"/>
        <v>-10</v>
      </c>
      <c r="BR7" s="21">
        <f t="shared" ca="1" si="101"/>
        <v>-10</v>
      </c>
      <c r="BS7" s="21">
        <f t="shared" ca="1" si="101"/>
        <v>-10</v>
      </c>
      <c r="BT7" s="21">
        <f t="shared" ca="1" si="101"/>
        <v>-10</v>
      </c>
      <c r="BU7" s="22">
        <f t="shared" ca="1" si="101"/>
        <v>1004</v>
      </c>
      <c r="BW7" s="21"/>
      <c r="BX7" s="21">
        <f t="shared" ref="BX7:CI7" ca="1" si="102">BX23-(BX41+BX58)</f>
        <v>-10</v>
      </c>
      <c r="BY7" s="21">
        <f t="shared" ca="1" si="102"/>
        <v>-10</v>
      </c>
      <c r="BZ7" s="21">
        <f t="shared" ca="1" si="102"/>
        <v>-10</v>
      </c>
      <c r="CA7" s="21">
        <f t="shared" ca="1" si="102"/>
        <v>-10</v>
      </c>
      <c r="CB7" s="21">
        <f t="shared" ca="1" si="102"/>
        <v>-10</v>
      </c>
      <c r="CC7" s="21">
        <f t="shared" ca="1" si="102"/>
        <v>-10</v>
      </c>
      <c r="CD7" s="21">
        <f t="shared" ca="1" si="102"/>
        <v>-10</v>
      </c>
      <c r="CE7" s="21">
        <f t="shared" ca="1" si="102"/>
        <v>-10</v>
      </c>
      <c r="CF7" s="21">
        <f t="shared" ca="1" si="102"/>
        <v>-10</v>
      </c>
      <c r="CG7" s="21">
        <f t="shared" ca="1" si="102"/>
        <v>-10</v>
      </c>
      <c r="CH7" s="21">
        <f t="shared" ca="1" si="102"/>
        <v>-10</v>
      </c>
      <c r="CI7" s="22">
        <f t="shared" ca="1" si="102"/>
        <v>1005</v>
      </c>
      <c r="CK7" s="21"/>
      <c r="CL7" s="21">
        <f t="shared" ref="CL7:CW7" ca="1" si="103">CL23-(CL41+CL58)</f>
        <v>-10</v>
      </c>
      <c r="CM7" s="21">
        <f t="shared" ca="1" si="103"/>
        <v>-10</v>
      </c>
      <c r="CN7" s="21">
        <f t="shared" ca="1" si="103"/>
        <v>-10</v>
      </c>
      <c r="CO7" s="21">
        <f t="shared" ca="1" si="103"/>
        <v>-10</v>
      </c>
      <c r="CP7" s="21">
        <f t="shared" ca="1" si="103"/>
        <v>-10</v>
      </c>
      <c r="CQ7" s="21">
        <f t="shared" ca="1" si="103"/>
        <v>-10</v>
      </c>
      <c r="CR7" s="21">
        <f t="shared" ca="1" si="103"/>
        <v>-10</v>
      </c>
      <c r="CS7" s="21">
        <f t="shared" ca="1" si="103"/>
        <v>-10</v>
      </c>
      <c r="CT7" s="21">
        <f t="shared" ca="1" si="103"/>
        <v>-10</v>
      </c>
      <c r="CU7" s="21">
        <f t="shared" ca="1" si="103"/>
        <v>-10</v>
      </c>
      <c r="CV7" s="21">
        <f t="shared" ca="1" si="103"/>
        <v>-10</v>
      </c>
      <c r="CW7" s="22">
        <f t="shared" ca="1" si="103"/>
        <v>1006</v>
      </c>
      <c r="CY7" s="21"/>
      <c r="CZ7" s="21">
        <f t="shared" ref="CZ7:DK7" ca="1" si="104">CZ23-(CZ41+CZ58)</f>
        <v>-10</v>
      </c>
      <c r="DA7" s="21">
        <f t="shared" ca="1" si="104"/>
        <v>-10</v>
      </c>
      <c r="DB7" s="21">
        <f t="shared" ca="1" si="104"/>
        <v>-10</v>
      </c>
      <c r="DC7" s="21">
        <f t="shared" ca="1" si="104"/>
        <v>-10</v>
      </c>
      <c r="DD7" s="21">
        <f t="shared" ca="1" si="104"/>
        <v>-10</v>
      </c>
      <c r="DE7" s="21">
        <f t="shared" ca="1" si="104"/>
        <v>-10</v>
      </c>
      <c r="DF7" s="21">
        <f t="shared" ca="1" si="104"/>
        <v>-10</v>
      </c>
      <c r="DG7" s="21">
        <f t="shared" ca="1" si="104"/>
        <v>-10</v>
      </c>
      <c r="DH7" s="21">
        <f t="shared" ca="1" si="104"/>
        <v>-10</v>
      </c>
      <c r="DI7" s="21">
        <f t="shared" ca="1" si="104"/>
        <v>-10</v>
      </c>
      <c r="DJ7" s="21">
        <f t="shared" ca="1" si="104"/>
        <v>-10</v>
      </c>
      <c r="DK7" s="22">
        <f t="shared" ca="1" si="104"/>
        <v>1007</v>
      </c>
      <c r="DM7" s="21"/>
      <c r="DN7" s="21">
        <f t="shared" ref="DN7:DY7" ca="1" si="105">DN23-(DN41+DN58)</f>
        <v>-10</v>
      </c>
      <c r="DO7" s="21">
        <f t="shared" ca="1" si="105"/>
        <v>-10</v>
      </c>
      <c r="DP7" s="21">
        <f t="shared" ca="1" si="105"/>
        <v>-10</v>
      </c>
      <c r="DQ7" s="21">
        <f t="shared" ca="1" si="105"/>
        <v>-10</v>
      </c>
      <c r="DR7" s="21">
        <f t="shared" ca="1" si="105"/>
        <v>-10</v>
      </c>
      <c r="DS7" s="21">
        <f t="shared" ca="1" si="105"/>
        <v>-10</v>
      </c>
      <c r="DT7" s="21">
        <f t="shared" ca="1" si="105"/>
        <v>-10</v>
      </c>
      <c r="DU7" s="21">
        <f t="shared" ca="1" si="105"/>
        <v>-10</v>
      </c>
      <c r="DV7" s="21">
        <f t="shared" ca="1" si="105"/>
        <v>-10</v>
      </c>
      <c r="DW7" s="21">
        <f t="shared" ca="1" si="105"/>
        <v>-10</v>
      </c>
      <c r="DX7" s="21">
        <f t="shared" ca="1" si="105"/>
        <v>-10</v>
      </c>
      <c r="DY7" s="22">
        <f t="shared" ca="1" si="105"/>
        <v>1008</v>
      </c>
    </row>
    <row r="8" spans="1:130" x14ac:dyDescent="0.3">
      <c r="C8" s="31"/>
      <c r="D8" s="31"/>
      <c r="E8" s="31"/>
      <c r="F8" s="31"/>
      <c r="G8" s="31"/>
      <c r="H8" s="31"/>
      <c r="I8" s="31"/>
      <c r="J8" s="31"/>
      <c r="K8" s="31"/>
      <c r="L8" s="31"/>
      <c r="M8" s="31"/>
      <c r="N8" s="31"/>
      <c r="O8" s="31"/>
      <c r="P8" s="31"/>
      <c r="Q8" s="31"/>
    </row>
    <row r="9" spans="1:130" x14ac:dyDescent="0.3">
      <c r="C9" s="31"/>
      <c r="D9" s="31"/>
      <c r="E9" s="31"/>
      <c r="F9" s="31"/>
      <c r="G9" s="31"/>
      <c r="H9" s="31"/>
      <c r="I9" s="31"/>
      <c r="J9" s="31"/>
      <c r="K9" s="31"/>
      <c r="L9" s="31"/>
      <c r="M9" s="31"/>
      <c r="N9" s="31"/>
      <c r="O9" s="31"/>
      <c r="P9" s="31"/>
      <c r="Q9" s="31"/>
    </row>
    <row r="10" spans="1:130" ht="18" x14ac:dyDescent="0.35">
      <c r="C10" s="36" t="s">
        <v>4</v>
      </c>
      <c r="D10" s="31"/>
      <c r="E10" s="37">
        <f>DATE(E$5,1,1)</f>
        <v>45292</v>
      </c>
      <c r="F10" s="37">
        <f>DATE(E$5,2,1)</f>
        <v>45323</v>
      </c>
      <c r="G10" s="37">
        <f>DATE(E$5,3,1)</f>
        <v>45352</v>
      </c>
      <c r="H10" s="37">
        <f>DATE(E$5,4,1)</f>
        <v>45383</v>
      </c>
      <c r="I10" s="37">
        <f>DATE(E$5,5,1)</f>
        <v>45413</v>
      </c>
      <c r="J10" s="37">
        <f>DATE(E$5,6,1)</f>
        <v>45444</v>
      </c>
      <c r="K10" s="37">
        <f>DATE(E$5,7,1)</f>
        <v>45474</v>
      </c>
      <c r="L10" s="37">
        <f>DATE(E$5,8,1)</f>
        <v>45505</v>
      </c>
      <c r="M10" s="37">
        <f>DATE(E$5,9,1)</f>
        <v>45536</v>
      </c>
      <c r="N10" s="37">
        <f>DATE(E$5,10,1)</f>
        <v>45566</v>
      </c>
      <c r="O10" s="37">
        <f>DATE(E$5,11,1)</f>
        <v>45597</v>
      </c>
      <c r="P10" s="37">
        <f>DATE(E$5,12,1)</f>
        <v>45627</v>
      </c>
      <c r="Q10" s="38">
        <f>E$5</f>
        <v>2024</v>
      </c>
      <c r="S10" s="12">
        <f>DATE(S$5,1,1)</f>
        <v>45658</v>
      </c>
      <c r="T10" s="12">
        <f>DATE(S$5,2,1)</f>
        <v>45689</v>
      </c>
      <c r="U10" s="12">
        <f>DATE(S$5,3,1)</f>
        <v>45717</v>
      </c>
      <c r="V10" s="12">
        <f>DATE(S$5,4,1)</f>
        <v>45748</v>
      </c>
      <c r="W10" s="12">
        <f>DATE(S$5,5,1)</f>
        <v>45778</v>
      </c>
      <c r="X10" s="12">
        <f>DATE(S$5,6,1)</f>
        <v>45809</v>
      </c>
      <c r="Y10" s="12">
        <f>DATE(S$5,7,1)</f>
        <v>45839</v>
      </c>
      <c r="Z10" s="12">
        <f>DATE(S$5,8,1)</f>
        <v>45870</v>
      </c>
      <c r="AA10" s="12">
        <f>DATE(S$5,9,1)</f>
        <v>45901</v>
      </c>
      <c r="AB10" s="12">
        <f>DATE(S$5,10,1)</f>
        <v>45931</v>
      </c>
      <c r="AC10" s="12">
        <f>DATE(S$5,11,1)</f>
        <v>45962</v>
      </c>
      <c r="AD10" s="12">
        <f>DATE(S$5,12,1)</f>
        <v>45992</v>
      </c>
      <c r="AE10" s="13">
        <f>S$5</f>
        <v>2025</v>
      </c>
      <c r="AG10" s="12">
        <f t="shared" ref="AG10" si="106">DATE(AG$5,1,1)</f>
        <v>46023</v>
      </c>
      <c r="AH10" s="12">
        <f t="shared" ref="AH10" si="107">DATE(AG$5,2,1)</f>
        <v>46054</v>
      </c>
      <c r="AI10" s="12">
        <f t="shared" ref="AI10" si="108">DATE(AG$5,3,1)</f>
        <v>46082</v>
      </c>
      <c r="AJ10" s="12">
        <f t="shared" ref="AJ10" si="109">DATE(AG$5,4,1)</f>
        <v>46113</v>
      </c>
      <c r="AK10" s="12">
        <f t="shared" ref="AK10" si="110">DATE(AG$5,5,1)</f>
        <v>46143</v>
      </c>
      <c r="AL10" s="12">
        <f t="shared" ref="AL10" si="111">DATE(AG$5,6,1)</f>
        <v>46174</v>
      </c>
      <c r="AM10" s="12">
        <f t="shared" ref="AM10" si="112">DATE(AG$5,7,1)</f>
        <v>46204</v>
      </c>
      <c r="AN10" s="12">
        <f t="shared" ref="AN10" si="113">DATE(AG$5,8,1)</f>
        <v>46235</v>
      </c>
      <c r="AO10" s="12">
        <f t="shared" ref="AO10" si="114">DATE(AG$5,9,1)</f>
        <v>46266</v>
      </c>
      <c r="AP10" s="12">
        <f t="shared" ref="AP10" si="115">DATE(AG$5,10,1)</f>
        <v>46296</v>
      </c>
      <c r="AQ10" s="12">
        <f t="shared" ref="AQ10" si="116">DATE(AG$5,11,1)</f>
        <v>46327</v>
      </c>
      <c r="AR10" s="12">
        <f t="shared" ref="AR10" si="117">DATE(AG$5,12,1)</f>
        <v>46357</v>
      </c>
      <c r="AS10" s="13">
        <f t="shared" ref="AS10" si="118">AG$5</f>
        <v>2026</v>
      </c>
      <c r="AU10" s="12">
        <f t="shared" ref="AU10" si="119">DATE(AU$5,1,1)</f>
        <v>46388</v>
      </c>
      <c r="AV10" s="12">
        <f t="shared" ref="AV10" si="120">DATE(AU$5,2,1)</f>
        <v>46419</v>
      </c>
      <c r="AW10" s="12">
        <f t="shared" ref="AW10" si="121">DATE(AU$5,3,1)</f>
        <v>46447</v>
      </c>
      <c r="AX10" s="12">
        <f t="shared" ref="AX10" si="122">DATE(AU$5,4,1)</f>
        <v>46478</v>
      </c>
      <c r="AY10" s="12">
        <f t="shared" ref="AY10" si="123">DATE(AU$5,5,1)</f>
        <v>46508</v>
      </c>
      <c r="AZ10" s="12">
        <f t="shared" ref="AZ10" si="124">DATE(AU$5,6,1)</f>
        <v>46539</v>
      </c>
      <c r="BA10" s="12">
        <f t="shared" ref="BA10" si="125">DATE(AU$5,7,1)</f>
        <v>46569</v>
      </c>
      <c r="BB10" s="12">
        <f t="shared" ref="BB10" si="126">DATE(AU$5,8,1)</f>
        <v>46600</v>
      </c>
      <c r="BC10" s="12">
        <f t="shared" ref="BC10" si="127">DATE(AU$5,9,1)</f>
        <v>46631</v>
      </c>
      <c r="BD10" s="12">
        <f t="shared" ref="BD10" si="128">DATE(AU$5,10,1)</f>
        <v>46661</v>
      </c>
      <c r="BE10" s="12">
        <f t="shared" ref="BE10" si="129">DATE(AU$5,11,1)</f>
        <v>46692</v>
      </c>
      <c r="BF10" s="12">
        <f t="shared" ref="BF10" si="130">DATE(AU$5,12,1)</f>
        <v>46722</v>
      </c>
      <c r="BG10" s="13">
        <f t="shared" ref="BG10" si="131">AU$5</f>
        <v>2027</v>
      </c>
      <c r="BI10" s="12">
        <f t="shared" ref="BI10" si="132">DATE(BI$5,1,1)</f>
        <v>46753</v>
      </c>
      <c r="BJ10" s="12">
        <f t="shared" ref="BJ10" si="133">DATE(BI$5,2,1)</f>
        <v>46784</v>
      </c>
      <c r="BK10" s="12">
        <f t="shared" ref="BK10" si="134">DATE(BI$5,3,1)</f>
        <v>46813</v>
      </c>
      <c r="BL10" s="12">
        <f t="shared" ref="BL10" si="135">DATE(BI$5,4,1)</f>
        <v>46844</v>
      </c>
      <c r="BM10" s="12">
        <f t="shared" ref="BM10" si="136">DATE(BI$5,5,1)</f>
        <v>46874</v>
      </c>
      <c r="BN10" s="12">
        <f t="shared" ref="BN10" si="137">DATE(BI$5,6,1)</f>
        <v>46905</v>
      </c>
      <c r="BO10" s="12">
        <f t="shared" ref="BO10" si="138">DATE(BI$5,7,1)</f>
        <v>46935</v>
      </c>
      <c r="BP10" s="12">
        <f t="shared" ref="BP10" si="139">DATE(BI$5,8,1)</f>
        <v>46966</v>
      </c>
      <c r="BQ10" s="12">
        <f t="shared" ref="BQ10" si="140">DATE(BI$5,9,1)</f>
        <v>46997</v>
      </c>
      <c r="BR10" s="12">
        <f t="shared" ref="BR10" si="141">DATE(BI$5,10,1)</f>
        <v>47027</v>
      </c>
      <c r="BS10" s="12">
        <f t="shared" ref="BS10" si="142">DATE(BI$5,11,1)</f>
        <v>47058</v>
      </c>
      <c r="BT10" s="12">
        <f t="shared" ref="BT10" si="143">DATE(BI$5,12,1)</f>
        <v>47088</v>
      </c>
      <c r="BU10" s="13">
        <f t="shared" ref="BU10" si="144">BI$5</f>
        <v>2028</v>
      </c>
      <c r="BW10" s="12">
        <f t="shared" ref="BW10" si="145">DATE(BW$5,1,1)</f>
        <v>47119</v>
      </c>
      <c r="BX10" s="12">
        <f t="shared" ref="BX10" si="146">DATE(BW$5,2,1)</f>
        <v>47150</v>
      </c>
      <c r="BY10" s="12">
        <f t="shared" ref="BY10" si="147">DATE(BW$5,3,1)</f>
        <v>47178</v>
      </c>
      <c r="BZ10" s="12">
        <f t="shared" ref="BZ10" si="148">DATE(BW$5,4,1)</f>
        <v>47209</v>
      </c>
      <c r="CA10" s="12">
        <f t="shared" ref="CA10" si="149">DATE(BW$5,5,1)</f>
        <v>47239</v>
      </c>
      <c r="CB10" s="12">
        <f t="shared" ref="CB10" si="150">DATE(BW$5,6,1)</f>
        <v>47270</v>
      </c>
      <c r="CC10" s="12">
        <f t="shared" ref="CC10" si="151">DATE(BW$5,7,1)</f>
        <v>47300</v>
      </c>
      <c r="CD10" s="12">
        <f t="shared" ref="CD10" si="152">DATE(BW$5,8,1)</f>
        <v>47331</v>
      </c>
      <c r="CE10" s="12">
        <f t="shared" ref="CE10" si="153">DATE(BW$5,9,1)</f>
        <v>47362</v>
      </c>
      <c r="CF10" s="12">
        <f t="shared" ref="CF10" si="154">DATE(BW$5,10,1)</f>
        <v>47392</v>
      </c>
      <c r="CG10" s="12">
        <f t="shared" ref="CG10" si="155">DATE(BW$5,11,1)</f>
        <v>47423</v>
      </c>
      <c r="CH10" s="12">
        <f t="shared" ref="CH10" si="156">DATE(BW$5,12,1)</f>
        <v>47453</v>
      </c>
      <c r="CI10" s="13">
        <f t="shared" ref="CI10" si="157">BW$5</f>
        <v>2029</v>
      </c>
      <c r="CK10" s="12">
        <f t="shared" ref="CK10" si="158">DATE(CK$5,1,1)</f>
        <v>47484</v>
      </c>
      <c r="CL10" s="12">
        <f t="shared" ref="CL10" si="159">DATE(CK$5,2,1)</f>
        <v>47515</v>
      </c>
      <c r="CM10" s="12">
        <f t="shared" ref="CM10" si="160">DATE(CK$5,3,1)</f>
        <v>47543</v>
      </c>
      <c r="CN10" s="12">
        <f t="shared" ref="CN10" si="161">DATE(CK$5,4,1)</f>
        <v>47574</v>
      </c>
      <c r="CO10" s="12">
        <f t="shared" ref="CO10" si="162">DATE(CK$5,5,1)</f>
        <v>47604</v>
      </c>
      <c r="CP10" s="12">
        <f t="shared" ref="CP10" si="163">DATE(CK$5,6,1)</f>
        <v>47635</v>
      </c>
      <c r="CQ10" s="12">
        <f t="shared" ref="CQ10" si="164">DATE(CK$5,7,1)</f>
        <v>47665</v>
      </c>
      <c r="CR10" s="12">
        <f t="shared" ref="CR10" si="165">DATE(CK$5,8,1)</f>
        <v>47696</v>
      </c>
      <c r="CS10" s="12">
        <f t="shared" ref="CS10" si="166">DATE(CK$5,9,1)</f>
        <v>47727</v>
      </c>
      <c r="CT10" s="12">
        <f t="shared" ref="CT10" si="167">DATE(CK$5,10,1)</f>
        <v>47757</v>
      </c>
      <c r="CU10" s="12">
        <f t="shared" ref="CU10" si="168">DATE(CK$5,11,1)</f>
        <v>47788</v>
      </c>
      <c r="CV10" s="12">
        <f t="shared" ref="CV10" si="169">DATE(CK$5,12,1)</f>
        <v>47818</v>
      </c>
      <c r="CW10" s="13">
        <f t="shared" ref="CW10" si="170">CK$5</f>
        <v>2030</v>
      </c>
      <c r="CY10" s="12">
        <f t="shared" ref="CY10" si="171">DATE(CY$5,1,1)</f>
        <v>47849</v>
      </c>
      <c r="CZ10" s="12">
        <f t="shared" ref="CZ10" si="172">DATE(CY$5,2,1)</f>
        <v>47880</v>
      </c>
      <c r="DA10" s="12">
        <f t="shared" ref="DA10" si="173">DATE(CY$5,3,1)</f>
        <v>47908</v>
      </c>
      <c r="DB10" s="12">
        <f t="shared" ref="DB10" si="174">DATE(CY$5,4,1)</f>
        <v>47939</v>
      </c>
      <c r="DC10" s="12">
        <f t="shared" ref="DC10" si="175">DATE(CY$5,5,1)</f>
        <v>47969</v>
      </c>
      <c r="DD10" s="12">
        <f t="shared" ref="DD10" si="176">DATE(CY$5,6,1)</f>
        <v>48000</v>
      </c>
      <c r="DE10" s="12">
        <f t="shared" ref="DE10" si="177">DATE(CY$5,7,1)</f>
        <v>48030</v>
      </c>
      <c r="DF10" s="12">
        <f t="shared" ref="DF10" si="178">DATE(CY$5,8,1)</f>
        <v>48061</v>
      </c>
      <c r="DG10" s="12">
        <f t="shared" ref="DG10" si="179">DATE(CY$5,9,1)</f>
        <v>48092</v>
      </c>
      <c r="DH10" s="12">
        <f t="shared" ref="DH10" si="180">DATE(CY$5,10,1)</f>
        <v>48122</v>
      </c>
      <c r="DI10" s="12">
        <f t="shared" ref="DI10" si="181">DATE(CY$5,11,1)</f>
        <v>48153</v>
      </c>
      <c r="DJ10" s="12">
        <f t="shared" ref="DJ10" si="182">DATE(CY$5,12,1)</f>
        <v>48183</v>
      </c>
      <c r="DK10" s="13">
        <f t="shared" ref="DK10" si="183">CY$5</f>
        <v>2031</v>
      </c>
      <c r="DM10" s="12">
        <f t="shared" ref="DM10" si="184">DATE(DM$5,1,1)</f>
        <v>48214</v>
      </c>
      <c r="DN10" s="12">
        <f t="shared" ref="DN10" si="185">DATE(DM$5,2,1)</f>
        <v>48245</v>
      </c>
      <c r="DO10" s="12">
        <f t="shared" ref="DO10" si="186">DATE(DM$5,3,1)</f>
        <v>48274</v>
      </c>
      <c r="DP10" s="12">
        <f t="shared" ref="DP10" si="187">DATE(DM$5,4,1)</f>
        <v>48305</v>
      </c>
      <c r="DQ10" s="12">
        <f t="shared" ref="DQ10" si="188">DATE(DM$5,5,1)</f>
        <v>48335</v>
      </c>
      <c r="DR10" s="12">
        <f t="shared" ref="DR10" si="189">DATE(DM$5,6,1)</f>
        <v>48366</v>
      </c>
      <c r="DS10" s="12">
        <f t="shared" ref="DS10" si="190">DATE(DM$5,7,1)</f>
        <v>48396</v>
      </c>
      <c r="DT10" s="12">
        <f t="shared" ref="DT10" si="191">DATE(DM$5,8,1)</f>
        <v>48427</v>
      </c>
      <c r="DU10" s="12">
        <f t="shared" ref="DU10" si="192">DATE(DM$5,9,1)</f>
        <v>48458</v>
      </c>
      <c r="DV10" s="12">
        <f t="shared" ref="DV10" si="193">DATE(DM$5,10,1)</f>
        <v>48488</v>
      </c>
      <c r="DW10" s="12">
        <f t="shared" ref="DW10" si="194">DATE(DM$5,11,1)</f>
        <v>48519</v>
      </c>
      <c r="DX10" s="12">
        <f t="shared" ref="DX10" si="195">DATE(DM$5,12,1)</f>
        <v>48549</v>
      </c>
      <c r="DY10" s="13">
        <f t="shared" ref="DY10" si="196">DM$5</f>
        <v>2032</v>
      </c>
    </row>
    <row r="11" spans="1:130" x14ac:dyDescent="0.3">
      <c r="C11" s="39" t="s">
        <v>7</v>
      </c>
      <c r="D11" s="31"/>
      <c r="E11" s="40">
        <v>3500</v>
      </c>
      <c r="F11" s="40">
        <v>2500</v>
      </c>
      <c r="G11" s="40">
        <v>2500</v>
      </c>
      <c r="H11" s="40">
        <v>2500</v>
      </c>
      <c r="I11" s="40">
        <v>2500</v>
      </c>
      <c r="J11" s="40">
        <v>2500</v>
      </c>
      <c r="K11" s="40">
        <v>2500</v>
      </c>
      <c r="L11" s="40">
        <v>2500</v>
      </c>
      <c r="M11" s="40">
        <v>2500</v>
      </c>
      <c r="N11" s="40">
        <v>2500</v>
      </c>
      <c r="O11" s="40">
        <v>2500</v>
      </c>
      <c r="P11" s="40">
        <v>2500</v>
      </c>
      <c r="Q11" s="40">
        <f>SUM(E11:P11)</f>
        <v>31000</v>
      </c>
      <c r="S11" s="24"/>
      <c r="T11" s="24"/>
      <c r="U11" s="24"/>
      <c r="V11" s="24"/>
      <c r="W11" s="24"/>
      <c r="X11" s="24"/>
      <c r="Y11" s="24"/>
      <c r="Z11" s="24"/>
      <c r="AA11" s="24"/>
      <c r="AB11" s="24"/>
      <c r="AC11" s="24"/>
      <c r="AD11" s="24"/>
      <c r="AE11" s="15">
        <f>SUM(S11:AD11)</f>
        <v>0</v>
      </c>
      <c r="AG11" s="24"/>
      <c r="AH11" s="24"/>
      <c r="AI11" s="24"/>
      <c r="AJ11" s="24"/>
      <c r="AK11" s="24"/>
      <c r="AL11" s="24"/>
      <c r="AM11" s="24"/>
      <c r="AN11" s="24"/>
      <c r="AO11" s="24"/>
      <c r="AP11" s="24"/>
      <c r="AQ11" s="24"/>
      <c r="AR11" s="24"/>
      <c r="AS11" s="15">
        <f t="shared" ref="AS11:AS22" si="197">SUM(AG11:AR11)</f>
        <v>0</v>
      </c>
      <c r="AU11" s="24"/>
      <c r="AV11" s="24"/>
      <c r="AW11" s="24"/>
      <c r="AX11" s="24"/>
      <c r="AY11" s="24"/>
      <c r="AZ11" s="24"/>
      <c r="BA11" s="24"/>
      <c r="BB11" s="24"/>
      <c r="BC11" s="24"/>
      <c r="BD11" s="24"/>
      <c r="BE11" s="24"/>
      <c r="BF11" s="24"/>
      <c r="BG11" s="15">
        <f t="shared" ref="BG11:BG22" si="198">SUM(AU11:BF11)</f>
        <v>0</v>
      </c>
      <c r="BI11" s="24"/>
      <c r="BJ11" s="24"/>
      <c r="BK11" s="24"/>
      <c r="BL11" s="24"/>
      <c r="BM11" s="24"/>
      <c r="BN11" s="24"/>
      <c r="BO11" s="24"/>
      <c r="BP11" s="24"/>
      <c r="BQ11" s="24"/>
      <c r="BR11" s="24"/>
      <c r="BS11" s="24"/>
      <c r="BT11" s="24"/>
      <c r="BU11" s="15">
        <f t="shared" ref="BU11:BU22" si="199">SUM(BI11:BT11)</f>
        <v>0</v>
      </c>
      <c r="BW11" s="24"/>
      <c r="BX11" s="24"/>
      <c r="BY11" s="24"/>
      <c r="BZ11" s="24"/>
      <c r="CA11" s="24"/>
      <c r="CB11" s="24"/>
      <c r="CC11" s="24"/>
      <c r="CD11" s="24"/>
      <c r="CE11" s="24"/>
      <c r="CF11" s="24"/>
      <c r="CG11" s="24"/>
      <c r="CH11" s="24"/>
      <c r="CI11" s="15">
        <f t="shared" ref="CI11:CI22" si="200">SUM(BW11:CH11)</f>
        <v>0</v>
      </c>
      <c r="CK11" s="24"/>
      <c r="CL11" s="24"/>
      <c r="CM11" s="24"/>
      <c r="CN11" s="24"/>
      <c r="CO11" s="24"/>
      <c r="CP11" s="24"/>
      <c r="CQ11" s="24"/>
      <c r="CR11" s="24"/>
      <c r="CS11" s="24"/>
      <c r="CT11" s="24"/>
      <c r="CU11" s="24"/>
      <c r="CV11" s="24"/>
      <c r="CW11" s="15">
        <f t="shared" ref="CW11:CW22" si="201">SUM(CK11:CV11)</f>
        <v>0</v>
      </c>
      <c r="CY11" s="24"/>
      <c r="CZ11" s="24"/>
      <c r="DA11" s="24"/>
      <c r="DB11" s="24"/>
      <c r="DC11" s="24"/>
      <c r="DD11" s="24"/>
      <c r="DE11" s="24"/>
      <c r="DF11" s="24"/>
      <c r="DG11" s="24"/>
      <c r="DH11" s="24"/>
      <c r="DI11" s="24"/>
      <c r="DJ11" s="24"/>
      <c r="DK11" s="15">
        <f t="shared" ref="DK11:DK22" si="202">SUM(CY11:DJ11)</f>
        <v>0</v>
      </c>
      <c r="DM11" s="24"/>
      <c r="DN11" s="24"/>
      <c r="DO11" s="24"/>
      <c r="DP11" s="24"/>
      <c r="DQ11" s="24"/>
      <c r="DR11" s="24"/>
      <c r="DS11" s="24"/>
      <c r="DT11" s="24"/>
      <c r="DU11" s="24"/>
      <c r="DV11" s="24"/>
      <c r="DW11" s="24"/>
      <c r="DX11" s="24"/>
      <c r="DY11" s="15">
        <f t="shared" ref="DY11:DY22" si="203">SUM(DM11:DX11)</f>
        <v>0</v>
      </c>
    </row>
    <row r="12" spans="1:130" x14ac:dyDescent="0.3">
      <c r="C12" s="39" t="s">
        <v>8</v>
      </c>
      <c r="D12" s="31"/>
      <c r="E12" s="41"/>
      <c r="F12" s="41"/>
      <c r="G12" s="41"/>
      <c r="H12" s="41"/>
      <c r="I12" s="41"/>
      <c r="J12" s="41"/>
      <c r="K12" s="41"/>
      <c r="L12" s="41"/>
      <c r="M12" s="41"/>
      <c r="N12" s="41"/>
      <c r="O12" s="41"/>
      <c r="P12" s="41"/>
      <c r="Q12" s="40">
        <f t="shared" ref="Q12:Q22" si="204">SUM(E12:P12)</f>
        <v>0</v>
      </c>
      <c r="S12" s="24"/>
      <c r="T12" s="24"/>
      <c r="U12" s="24"/>
      <c r="V12" s="24"/>
      <c r="W12" s="24"/>
      <c r="X12" s="24"/>
      <c r="Y12" s="24"/>
      <c r="Z12" s="24"/>
      <c r="AA12" s="24"/>
      <c r="AB12" s="24"/>
      <c r="AC12" s="24"/>
      <c r="AD12" s="24"/>
      <c r="AE12" s="15">
        <f t="shared" ref="AE12:AE22" si="205">SUM(S12:AD12)</f>
        <v>0</v>
      </c>
      <c r="AG12" s="24"/>
      <c r="AH12" s="24"/>
      <c r="AI12" s="24"/>
      <c r="AJ12" s="24"/>
      <c r="AK12" s="24"/>
      <c r="AL12" s="24"/>
      <c r="AM12" s="24"/>
      <c r="AN12" s="24"/>
      <c r="AO12" s="24"/>
      <c r="AP12" s="24"/>
      <c r="AQ12" s="24"/>
      <c r="AR12" s="24"/>
      <c r="AS12" s="15">
        <f t="shared" si="197"/>
        <v>0</v>
      </c>
      <c r="AU12" s="24"/>
      <c r="AV12" s="24"/>
      <c r="AW12" s="24"/>
      <c r="AX12" s="24"/>
      <c r="AY12" s="24"/>
      <c r="AZ12" s="24"/>
      <c r="BA12" s="24"/>
      <c r="BB12" s="24"/>
      <c r="BC12" s="24"/>
      <c r="BD12" s="24"/>
      <c r="BE12" s="24"/>
      <c r="BF12" s="24"/>
      <c r="BG12" s="15">
        <f t="shared" si="198"/>
        <v>0</v>
      </c>
      <c r="BI12" s="24"/>
      <c r="BJ12" s="24"/>
      <c r="BK12" s="24"/>
      <c r="BL12" s="24"/>
      <c r="BM12" s="24"/>
      <c r="BN12" s="24"/>
      <c r="BO12" s="24"/>
      <c r="BP12" s="24"/>
      <c r="BQ12" s="24"/>
      <c r="BR12" s="24"/>
      <c r="BS12" s="24"/>
      <c r="BT12" s="24"/>
      <c r="BU12" s="15">
        <f t="shared" si="199"/>
        <v>0</v>
      </c>
      <c r="BW12" s="24"/>
      <c r="BX12" s="24"/>
      <c r="BY12" s="24"/>
      <c r="BZ12" s="24"/>
      <c r="CA12" s="24"/>
      <c r="CB12" s="24"/>
      <c r="CC12" s="24"/>
      <c r="CD12" s="24"/>
      <c r="CE12" s="24"/>
      <c r="CF12" s="24"/>
      <c r="CG12" s="24"/>
      <c r="CH12" s="24"/>
      <c r="CI12" s="15">
        <f t="shared" si="200"/>
        <v>0</v>
      </c>
      <c r="CK12" s="24"/>
      <c r="CL12" s="24"/>
      <c r="CM12" s="24"/>
      <c r="CN12" s="24"/>
      <c r="CO12" s="24"/>
      <c r="CP12" s="24"/>
      <c r="CQ12" s="24"/>
      <c r="CR12" s="24"/>
      <c r="CS12" s="24"/>
      <c r="CT12" s="24"/>
      <c r="CU12" s="24"/>
      <c r="CV12" s="24"/>
      <c r="CW12" s="15">
        <f t="shared" si="201"/>
        <v>0</v>
      </c>
      <c r="CY12" s="24"/>
      <c r="CZ12" s="24"/>
      <c r="DA12" s="24"/>
      <c r="DB12" s="24"/>
      <c r="DC12" s="24"/>
      <c r="DD12" s="24"/>
      <c r="DE12" s="24"/>
      <c r="DF12" s="24"/>
      <c r="DG12" s="24"/>
      <c r="DH12" s="24"/>
      <c r="DI12" s="24"/>
      <c r="DJ12" s="24"/>
      <c r="DK12" s="15">
        <f t="shared" si="202"/>
        <v>0</v>
      </c>
      <c r="DM12" s="24"/>
      <c r="DN12" s="24"/>
      <c r="DO12" s="24"/>
      <c r="DP12" s="24"/>
      <c r="DQ12" s="24"/>
      <c r="DR12" s="24"/>
      <c r="DS12" s="24"/>
      <c r="DT12" s="24"/>
      <c r="DU12" s="24"/>
      <c r="DV12" s="24"/>
      <c r="DW12" s="24"/>
      <c r="DX12" s="24"/>
      <c r="DY12" s="15">
        <f t="shared" si="203"/>
        <v>0</v>
      </c>
    </row>
    <row r="13" spans="1:130" x14ac:dyDescent="0.3">
      <c r="C13" s="39" t="s">
        <v>72</v>
      </c>
      <c r="D13" s="31"/>
      <c r="E13" s="41"/>
      <c r="F13" s="41"/>
      <c r="G13" s="41"/>
      <c r="H13" s="41"/>
      <c r="I13" s="41"/>
      <c r="J13" s="41"/>
      <c r="K13" s="41"/>
      <c r="L13" s="41"/>
      <c r="M13" s="41"/>
      <c r="N13" s="41"/>
      <c r="O13" s="41"/>
      <c r="P13" s="41"/>
      <c r="Q13" s="40">
        <f t="shared" si="204"/>
        <v>0</v>
      </c>
      <c r="S13" s="24"/>
      <c r="T13" s="24"/>
      <c r="U13" s="24"/>
      <c r="V13" s="24"/>
      <c r="W13" s="24"/>
      <c r="X13" s="24"/>
      <c r="Y13" s="24"/>
      <c r="Z13" s="24"/>
      <c r="AA13" s="24"/>
      <c r="AB13" s="24"/>
      <c r="AC13" s="24"/>
      <c r="AD13" s="24"/>
      <c r="AE13" s="15">
        <f t="shared" si="205"/>
        <v>0</v>
      </c>
      <c r="AG13" s="24"/>
      <c r="AH13" s="24"/>
      <c r="AI13" s="24"/>
      <c r="AJ13" s="24"/>
      <c r="AK13" s="24"/>
      <c r="AL13" s="24"/>
      <c r="AM13" s="24"/>
      <c r="AN13" s="24"/>
      <c r="AO13" s="24"/>
      <c r="AP13" s="24"/>
      <c r="AQ13" s="24"/>
      <c r="AR13" s="24"/>
      <c r="AS13" s="15">
        <f t="shared" si="197"/>
        <v>0</v>
      </c>
      <c r="AU13" s="24"/>
      <c r="AV13" s="24"/>
      <c r="AW13" s="24"/>
      <c r="AX13" s="24"/>
      <c r="AY13" s="24"/>
      <c r="AZ13" s="24"/>
      <c r="BA13" s="24"/>
      <c r="BB13" s="24"/>
      <c r="BC13" s="24"/>
      <c r="BD13" s="24"/>
      <c r="BE13" s="24"/>
      <c r="BF13" s="24"/>
      <c r="BG13" s="15">
        <f t="shared" si="198"/>
        <v>0</v>
      </c>
      <c r="BI13" s="24"/>
      <c r="BJ13" s="24"/>
      <c r="BK13" s="24"/>
      <c r="BL13" s="24"/>
      <c r="BM13" s="24"/>
      <c r="BN13" s="24"/>
      <c r="BO13" s="24"/>
      <c r="BP13" s="24"/>
      <c r="BQ13" s="24"/>
      <c r="BR13" s="24"/>
      <c r="BS13" s="24"/>
      <c r="BT13" s="24"/>
      <c r="BU13" s="15">
        <f t="shared" si="199"/>
        <v>0</v>
      </c>
      <c r="BW13" s="24"/>
      <c r="BX13" s="24"/>
      <c r="BY13" s="24"/>
      <c r="BZ13" s="24"/>
      <c r="CA13" s="24"/>
      <c r="CB13" s="24"/>
      <c r="CC13" s="24"/>
      <c r="CD13" s="24"/>
      <c r="CE13" s="24"/>
      <c r="CF13" s="24"/>
      <c r="CG13" s="24"/>
      <c r="CH13" s="24"/>
      <c r="CI13" s="15">
        <f t="shared" si="200"/>
        <v>0</v>
      </c>
      <c r="CK13" s="24"/>
      <c r="CL13" s="24"/>
      <c r="CM13" s="24"/>
      <c r="CN13" s="24"/>
      <c r="CO13" s="24"/>
      <c r="CP13" s="24"/>
      <c r="CQ13" s="24"/>
      <c r="CR13" s="24"/>
      <c r="CS13" s="24"/>
      <c r="CT13" s="24"/>
      <c r="CU13" s="24"/>
      <c r="CV13" s="24"/>
      <c r="CW13" s="15">
        <f t="shared" si="201"/>
        <v>0</v>
      </c>
      <c r="CY13" s="24"/>
      <c r="CZ13" s="24"/>
      <c r="DA13" s="24"/>
      <c r="DB13" s="24"/>
      <c r="DC13" s="24"/>
      <c r="DD13" s="24"/>
      <c r="DE13" s="24"/>
      <c r="DF13" s="24"/>
      <c r="DG13" s="24"/>
      <c r="DH13" s="24"/>
      <c r="DI13" s="24"/>
      <c r="DJ13" s="24"/>
      <c r="DK13" s="15">
        <f t="shared" si="202"/>
        <v>0</v>
      </c>
      <c r="DM13" s="24"/>
      <c r="DN13" s="24"/>
      <c r="DO13" s="24"/>
      <c r="DP13" s="24"/>
      <c r="DQ13" s="24"/>
      <c r="DR13" s="24"/>
      <c r="DS13" s="24"/>
      <c r="DT13" s="24"/>
      <c r="DU13" s="24"/>
      <c r="DV13" s="24"/>
      <c r="DW13" s="24"/>
      <c r="DX13" s="24"/>
      <c r="DY13" s="15">
        <f t="shared" si="203"/>
        <v>0</v>
      </c>
    </row>
    <row r="14" spans="1:130" x14ac:dyDescent="0.3">
      <c r="C14" s="39" t="s">
        <v>114</v>
      </c>
      <c r="D14" s="31"/>
      <c r="E14" s="41"/>
      <c r="F14" s="41"/>
      <c r="G14" s="41"/>
      <c r="H14" s="41"/>
      <c r="I14" s="41"/>
      <c r="J14" s="41"/>
      <c r="K14" s="41"/>
      <c r="L14" s="41"/>
      <c r="M14" s="41"/>
      <c r="N14" s="41"/>
      <c r="O14" s="41"/>
      <c r="P14" s="41"/>
      <c r="Q14" s="40">
        <f t="shared" si="204"/>
        <v>0</v>
      </c>
      <c r="S14" s="24"/>
      <c r="T14" s="24"/>
      <c r="U14" s="24"/>
      <c r="V14" s="24"/>
      <c r="W14" s="24"/>
      <c r="X14" s="24"/>
      <c r="Y14" s="24"/>
      <c r="Z14" s="24"/>
      <c r="AA14" s="24"/>
      <c r="AB14" s="24"/>
      <c r="AC14" s="24"/>
      <c r="AD14" s="24"/>
      <c r="AE14" s="15">
        <f t="shared" si="205"/>
        <v>0</v>
      </c>
      <c r="AG14" s="24"/>
      <c r="AH14" s="24"/>
      <c r="AI14" s="24"/>
      <c r="AJ14" s="24"/>
      <c r="AK14" s="24"/>
      <c r="AL14" s="24"/>
      <c r="AM14" s="24"/>
      <c r="AN14" s="24"/>
      <c r="AO14" s="24"/>
      <c r="AP14" s="24"/>
      <c r="AQ14" s="24"/>
      <c r="AR14" s="24"/>
      <c r="AS14" s="15">
        <f t="shared" si="197"/>
        <v>0</v>
      </c>
      <c r="AU14" s="24"/>
      <c r="AV14" s="24"/>
      <c r="AW14" s="24"/>
      <c r="AX14" s="24"/>
      <c r="AY14" s="24"/>
      <c r="AZ14" s="24"/>
      <c r="BA14" s="24"/>
      <c r="BB14" s="24"/>
      <c r="BC14" s="24"/>
      <c r="BD14" s="24"/>
      <c r="BE14" s="24"/>
      <c r="BF14" s="24"/>
      <c r="BG14" s="15">
        <f t="shared" si="198"/>
        <v>0</v>
      </c>
      <c r="BI14" s="24"/>
      <c r="BJ14" s="24"/>
      <c r="BK14" s="24"/>
      <c r="BL14" s="24"/>
      <c r="BM14" s="24"/>
      <c r="BN14" s="24"/>
      <c r="BO14" s="24"/>
      <c r="BP14" s="24"/>
      <c r="BQ14" s="24"/>
      <c r="BR14" s="24"/>
      <c r="BS14" s="24"/>
      <c r="BT14" s="24"/>
      <c r="BU14" s="15">
        <f t="shared" si="199"/>
        <v>0</v>
      </c>
      <c r="BW14" s="24"/>
      <c r="BX14" s="24"/>
      <c r="BY14" s="24"/>
      <c r="BZ14" s="24"/>
      <c r="CA14" s="24"/>
      <c r="CB14" s="24"/>
      <c r="CC14" s="24"/>
      <c r="CD14" s="24"/>
      <c r="CE14" s="24"/>
      <c r="CF14" s="24"/>
      <c r="CG14" s="24"/>
      <c r="CH14" s="24"/>
      <c r="CI14" s="15">
        <f t="shared" si="200"/>
        <v>0</v>
      </c>
      <c r="CK14" s="24"/>
      <c r="CL14" s="24"/>
      <c r="CM14" s="24"/>
      <c r="CN14" s="24"/>
      <c r="CO14" s="24"/>
      <c r="CP14" s="24"/>
      <c r="CQ14" s="24"/>
      <c r="CR14" s="24"/>
      <c r="CS14" s="24"/>
      <c r="CT14" s="24"/>
      <c r="CU14" s="24"/>
      <c r="CV14" s="24"/>
      <c r="CW14" s="15">
        <f t="shared" si="201"/>
        <v>0</v>
      </c>
      <c r="CY14" s="24"/>
      <c r="CZ14" s="24"/>
      <c r="DA14" s="24"/>
      <c r="DB14" s="24"/>
      <c r="DC14" s="24"/>
      <c r="DD14" s="24"/>
      <c r="DE14" s="24"/>
      <c r="DF14" s="24"/>
      <c r="DG14" s="24"/>
      <c r="DH14" s="24"/>
      <c r="DI14" s="24"/>
      <c r="DJ14" s="24"/>
      <c r="DK14" s="15">
        <f t="shared" si="202"/>
        <v>0</v>
      </c>
      <c r="DM14" s="24"/>
      <c r="DN14" s="24"/>
      <c r="DO14" s="24"/>
      <c r="DP14" s="24"/>
      <c r="DQ14" s="24"/>
      <c r="DR14" s="24"/>
      <c r="DS14" s="24"/>
      <c r="DT14" s="24"/>
      <c r="DU14" s="24"/>
      <c r="DV14" s="24"/>
      <c r="DW14" s="24"/>
      <c r="DX14" s="24"/>
      <c r="DY14" s="15">
        <f t="shared" si="203"/>
        <v>0</v>
      </c>
    </row>
    <row r="15" spans="1:130" x14ac:dyDescent="0.3">
      <c r="C15" s="49" t="s">
        <v>119</v>
      </c>
      <c r="D15" s="31"/>
      <c r="E15" s="41"/>
      <c r="F15" s="41"/>
      <c r="G15" s="41"/>
      <c r="H15" s="41"/>
      <c r="I15" s="41"/>
      <c r="J15" s="41"/>
      <c r="K15" s="41"/>
      <c r="L15" s="41"/>
      <c r="M15" s="41"/>
      <c r="N15" s="41"/>
      <c r="O15" s="41"/>
      <c r="P15" s="41"/>
      <c r="Q15" s="40">
        <f t="shared" si="204"/>
        <v>0</v>
      </c>
      <c r="S15" s="14">
        <v>1001</v>
      </c>
      <c r="T15" s="14"/>
      <c r="U15" s="14"/>
      <c r="V15" s="14"/>
      <c r="W15" s="14"/>
      <c r="X15" s="14"/>
      <c r="Y15" s="14"/>
      <c r="Z15" s="14"/>
      <c r="AA15" s="14"/>
      <c r="AB15" s="14"/>
      <c r="AC15" s="14"/>
      <c r="AD15" s="14"/>
      <c r="AE15" s="15">
        <f t="shared" si="205"/>
        <v>1001</v>
      </c>
      <c r="AG15" s="14">
        <v>1002</v>
      </c>
      <c r="AH15" s="14"/>
      <c r="AI15" s="14"/>
      <c r="AJ15" s="14"/>
      <c r="AK15" s="14"/>
      <c r="AL15" s="14"/>
      <c r="AM15" s="14"/>
      <c r="AN15" s="14"/>
      <c r="AO15" s="14"/>
      <c r="AP15" s="14"/>
      <c r="AQ15" s="14"/>
      <c r="AR15" s="14"/>
      <c r="AS15" s="15">
        <f t="shared" si="197"/>
        <v>1002</v>
      </c>
      <c r="AU15" s="14">
        <v>1003</v>
      </c>
      <c r="AV15" s="14"/>
      <c r="AW15" s="14"/>
      <c r="AX15" s="14"/>
      <c r="AY15" s="14"/>
      <c r="AZ15" s="14"/>
      <c r="BA15" s="14"/>
      <c r="BB15" s="14"/>
      <c r="BC15" s="14"/>
      <c r="BD15" s="14"/>
      <c r="BE15" s="14"/>
      <c r="BF15" s="14"/>
      <c r="BG15" s="15">
        <f t="shared" si="198"/>
        <v>1003</v>
      </c>
      <c r="BI15" s="14">
        <v>1004</v>
      </c>
      <c r="BJ15" s="14"/>
      <c r="BK15" s="14"/>
      <c r="BL15" s="14"/>
      <c r="BM15" s="14"/>
      <c r="BN15" s="14"/>
      <c r="BO15" s="14"/>
      <c r="BP15" s="14"/>
      <c r="BQ15" s="14"/>
      <c r="BR15" s="14"/>
      <c r="BS15" s="14"/>
      <c r="BT15" s="14"/>
      <c r="BU15" s="15">
        <f t="shared" si="199"/>
        <v>1004</v>
      </c>
      <c r="BW15" s="14">
        <v>1005</v>
      </c>
      <c r="BX15" s="14"/>
      <c r="BY15" s="14"/>
      <c r="BZ15" s="14"/>
      <c r="CA15" s="14"/>
      <c r="CB15" s="14"/>
      <c r="CC15" s="14"/>
      <c r="CD15" s="14"/>
      <c r="CE15" s="14"/>
      <c r="CF15" s="14"/>
      <c r="CG15" s="14"/>
      <c r="CH15" s="14"/>
      <c r="CI15" s="15">
        <f t="shared" si="200"/>
        <v>1005</v>
      </c>
      <c r="CK15" s="14">
        <v>1006</v>
      </c>
      <c r="CL15" s="14"/>
      <c r="CM15" s="14"/>
      <c r="CN15" s="14"/>
      <c r="CO15" s="14"/>
      <c r="CP15" s="14"/>
      <c r="CQ15" s="14"/>
      <c r="CR15" s="14"/>
      <c r="CS15" s="14"/>
      <c r="CT15" s="14"/>
      <c r="CU15" s="14"/>
      <c r="CV15" s="14"/>
      <c r="CW15" s="15">
        <f t="shared" si="201"/>
        <v>1006</v>
      </c>
      <c r="CY15" s="14">
        <v>1007</v>
      </c>
      <c r="CZ15" s="14"/>
      <c r="DA15" s="14"/>
      <c r="DB15" s="14"/>
      <c r="DC15" s="14"/>
      <c r="DD15" s="14"/>
      <c r="DE15" s="14"/>
      <c r="DF15" s="14"/>
      <c r="DG15" s="14"/>
      <c r="DH15" s="14"/>
      <c r="DI15" s="14"/>
      <c r="DJ15" s="14"/>
      <c r="DK15" s="15">
        <f t="shared" si="202"/>
        <v>1007</v>
      </c>
      <c r="DM15" s="14">
        <v>1008</v>
      </c>
      <c r="DN15" s="14"/>
      <c r="DO15" s="14"/>
      <c r="DP15" s="14"/>
      <c r="DQ15" s="14"/>
      <c r="DR15" s="14"/>
      <c r="DS15" s="14"/>
      <c r="DT15" s="14"/>
      <c r="DU15" s="14"/>
      <c r="DV15" s="14"/>
      <c r="DW15" s="14"/>
      <c r="DX15" s="14"/>
      <c r="DY15" s="15">
        <f t="shared" si="203"/>
        <v>1008</v>
      </c>
    </row>
    <row r="16" spans="1:130" hidden="1" x14ac:dyDescent="0.3">
      <c r="C16" s="42" t="s">
        <v>5</v>
      </c>
      <c r="D16" s="31"/>
      <c r="E16" s="41">
        <v>1000</v>
      </c>
      <c r="F16" s="41"/>
      <c r="G16" s="41"/>
      <c r="H16" s="41"/>
      <c r="I16" s="41"/>
      <c r="J16" s="41"/>
      <c r="K16" s="41"/>
      <c r="L16" s="41"/>
      <c r="M16" s="41"/>
      <c r="N16" s="41"/>
      <c r="O16" s="41"/>
      <c r="P16" s="41"/>
      <c r="Q16" s="40">
        <f t="shared" si="204"/>
        <v>1000</v>
      </c>
      <c r="S16" s="14">
        <v>1001</v>
      </c>
      <c r="T16" s="14"/>
      <c r="U16" s="14"/>
      <c r="V16" s="14"/>
      <c r="W16" s="14"/>
      <c r="X16" s="14"/>
      <c r="Y16" s="14"/>
      <c r="Z16" s="14"/>
      <c r="AA16" s="14"/>
      <c r="AB16" s="14"/>
      <c r="AC16" s="14"/>
      <c r="AD16" s="14"/>
      <c r="AE16" s="15">
        <f t="shared" si="205"/>
        <v>1001</v>
      </c>
      <c r="AG16" s="14">
        <v>1002</v>
      </c>
      <c r="AH16" s="14"/>
      <c r="AI16" s="14"/>
      <c r="AJ16" s="14"/>
      <c r="AK16" s="14"/>
      <c r="AL16" s="14"/>
      <c r="AM16" s="14"/>
      <c r="AN16" s="14"/>
      <c r="AO16" s="14"/>
      <c r="AP16" s="14"/>
      <c r="AQ16" s="14"/>
      <c r="AR16" s="14"/>
      <c r="AS16" s="15">
        <f t="shared" si="197"/>
        <v>1002</v>
      </c>
      <c r="AU16" s="14">
        <v>1003</v>
      </c>
      <c r="AV16" s="14"/>
      <c r="AW16" s="14"/>
      <c r="AX16" s="14"/>
      <c r="AY16" s="14"/>
      <c r="AZ16" s="14"/>
      <c r="BA16" s="14"/>
      <c r="BB16" s="14"/>
      <c r="BC16" s="14"/>
      <c r="BD16" s="14"/>
      <c r="BE16" s="14"/>
      <c r="BF16" s="14"/>
      <c r="BG16" s="15">
        <f t="shared" si="198"/>
        <v>1003</v>
      </c>
      <c r="BI16" s="14">
        <v>1004</v>
      </c>
      <c r="BJ16" s="14"/>
      <c r="BK16" s="14"/>
      <c r="BL16" s="14"/>
      <c r="BM16" s="14"/>
      <c r="BN16" s="14"/>
      <c r="BO16" s="14"/>
      <c r="BP16" s="14"/>
      <c r="BQ16" s="14"/>
      <c r="BR16" s="14"/>
      <c r="BS16" s="14"/>
      <c r="BT16" s="14"/>
      <c r="BU16" s="15">
        <f t="shared" si="199"/>
        <v>1004</v>
      </c>
      <c r="BW16" s="14">
        <v>1005</v>
      </c>
      <c r="BX16" s="14"/>
      <c r="BY16" s="14"/>
      <c r="BZ16" s="14"/>
      <c r="CA16" s="14"/>
      <c r="CB16" s="14"/>
      <c r="CC16" s="14"/>
      <c r="CD16" s="14"/>
      <c r="CE16" s="14"/>
      <c r="CF16" s="14"/>
      <c r="CG16" s="14"/>
      <c r="CH16" s="14"/>
      <c r="CI16" s="15">
        <f t="shared" si="200"/>
        <v>1005</v>
      </c>
      <c r="CK16" s="14">
        <v>1006</v>
      </c>
      <c r="CL16" s="14"/>
      <c r="CM16" s="14"/>
      <c r="CN16" s="14"/>
      <c r="CO16" s="14"/>
      <c r="CP16" s="14"/>
      <c r="CQ16" s="14"/>
      <c r="CR16" s="14"/>
      <c r="CS16" s="14"/>
      <c r="CT16" s="14"/>
      <c r="CU16" s="14"/>
      <c r="CV16" s="14"/>
      <c r="CW16" s="15">
        <f t="shared" si="201"/>
        <v>1006</v>
      </c>
      <c r="CY16" s="14">
        <v>1007</v>
      </c>
      <c r="CZ16" s="14"/>
      <c r="DA16" s="14"/>
      <c r="DB16" s="14"/>
      <c r="DC16" s="14"/>
      <c r="DD16" s="14"/>
      <c r="DE16" s="14"/>
      <c r="DF16" s="14"/>
      <c r="DG16" s="14"/>
      <c r="DH16" s="14"/>
      <c r="DI16" s="14"/>
      <c r="DJ16" s="14"/>
      <c r="DK16" s="15">
        <f t="shared" si="202"/>
        <v>1007</v>
      </c>
      <c r="DM16" s="14">
        <v>1008</v>
      </c>
      <c r="DN16" s="14"/>
      <c r="DO16" s="14"/>
      <c r="DP16" s="14"/>
      <c r="DQ16" s="14"/>
      <c r="DR16" s="14"/>
      <c r="DS16" s="14"/>
      <c r="DT16" s="14"/>
      <c r="DU16" s="14"/>
      <c r="DV16" s="14"/>
      <c r="DW16" s="14"/>
      <c r="DX16" s="14"/>
      <c r="DY16" s="15">
        <f t="shared" si="203"/>
        <v>1008</v>
      </c>
    </row>
    <row r="17" spans="3:129" hidden="1" x14ac:dyDescent="0.3">
      <c r="C17" s="42" t="s">
        <v>5</v>
      </c>
      <c r="D17" s="31"/>
      <c r="E17" s="41">
        <v>1000</v>
      </c>
      <c r="F17" s="41"/>
      <c r="G17" s="41"/>
      <c r="H17" s="41"/>
      <c r="I17" s="41"/>
      <c r="J17" s="41"/>
      <c r="K17" s="41"/>
      <c r="L17" s="41"/>
      <c r="M17" s="41"/>
      <c r="N17" s="41"/>
      <c r="O17" s="41"/>
      <c r="P17" s="41"/>
      <c r="Q17" s="40">
        <f t="shared" si="204"/>
        <v>1000</v>
      </c>
      <c r="S17" s="14">
        <v>1001</v>
      </c>
      <c r="T17" s="14"/>
      <c r="U17" s="14"/>
      <c r="V17" s="14"/>
      <c r="W17" s="14"/>
      <c r="X17" s="14"/>
      <c r="Y17" s="14"/>
      <c r="Z17" s="14"/>
      <c r="AA17" s="14"/>
      <c r="AB17" s="14"/>
      <c r="AC17" s="14"/>
      <c r="AD17" s="14"/>
      <c r="AE17" s="15">
        <f t="shared" si="205"/>
        <v>1001</v>
      </c>
      <c r="AG17" s="14">
        <v>1002</v>
      </c>
      <c r="AH17" s="14"/>
      <c r="AI17" s="14"/>
      <c r="AJ17" s="14"/>
      <c r="AK17" s="14"/>
      <c r="AL17" s="14"/>
      <c r="AM17" s="14"/>
      <c r="AN17" s="14"/>
      <c r="AO17" s="14"/>
      <c r="AP17" s="14"/>
      <c r="AQ17" s="14"/>
      <c r="AR17" s="14"/>
      <c r="AS17" s="15">
        <f t="shared" si="197"/>
        <v>1002</v>
      </c>
      <c r="AU17" s="14">
        <v>1003</v>
      </c>
      <c r="AV17" s="14"/>
      <c r="AW17" s="14"/>
      <c r="AX17" s="14"/>
      <c r="AY17" s="14"/>
      <c r="AZ17" s="14"/>
      <c r="BA17" s="14"/>
      <c r="BB17" s="14"/>
      <c r="BC17" s="14"/>
      <c r="BD17" s="14"/>
      <c r="BE17" s="14"/>
      <c r="BF17" s="14"/>
      <c r="BG17" s="15">
        <f t="shared" si="198"/>
        <v>1003</v>
      </c>
      <c r="BI17" s="14">
        <v>1004</v>
      </c>
      <c r="BJ17" s="14"/>
      <c r="BK17" s="14"/>
      <c r="BL17" s="14"/>
      <c r="BM17" s="14"/>
      <c r="BN17" s="14"/>
      <c r="BO17" s="14"/>
      <c r="BP17" s="14"/>
      <c r="BQ17" s="14"/>
      <c r="BR17" s="14"/>
      <c r="BS17" s="14"/>
      <c r="BT17" s="14"/>
      <c r="BU17" s="15">
        <f t="shared" si="199"/>
        <v>1004</v>
      </c>
      <c r="BW17" s="14">
        <v>1005</v>
      </c>
      <c r="BX17" s="14"/>
      <c r="BY17" s="14"/>
      <c r="BZ17" s="14"/>
      <c r="CA17" s="14"/>
      <c r="CB17" s="14"/>
      <c r="CC17" s="14"/>
      <c r="CD17" s="14"/>
      <c r="CE17" s="14"/>
      <c r="CF17" s="14"/>
      <c r="CG17" s="14"/>
      <c r="CH17" s="14"/>
      <c r="CI17" s="15">
        <f t="shared" si="200"/>
        <v>1005</v>
      </c>
      <c r="CK17" s="14">
        <v>1006</v>
      </c>
      <c r="CL17" s="14"/>
      <c r="CM17" s="14"/>
      <c r="CN17" s="14"/>
      <c r="CO17" s="14"/>
      <c r="CP17" s="14"/>
      <c r="CQ17" s="14"/>
      <c r="CR17" s="14"/>
      <c r="CS17" s="14"/>
      <c r="CT17" s="14"/>
      <c r="CU17" s="14"/>
      <c r="CV17" s="14"/>
      <c r="CW17" s="15">
        <f t="shared" si="201"/>
        <v>1006</v>
      </c>
      <c r="CY17" s="14">
        <v>1007</v>
      </c>
      <c r="CZ17" s="14"/>
      <c r="DA17" s="14"/>
      <c r="DB17" s="14"/>
      <c r="DC17" s="14"/>
      <c r="DD17" s="14"/>
      <c r="DE17" s="14"/>
      <c r="DF17" s="14"/>
      <c r="DG17" s="14"/>
      <c r="DH17" s="14"/>
      <c r="DI17" s="14"/>
      <c r="DJ17" s="14"/>
      <c r="DK17" s="15">
        <f t="shared" si="202"/>
        <v>1007</v>
      </c>
      <c r="DM17" s="14">
        <v>1008</v>
      </c>
      <c r="DN17" s="14"/>
      <c r="DO17" s="14"/>
      <c r="DP17" s="14"/>
      <c r="DQ17" s="14"/>
      <c r="DR17" s="14"/>
      <c r="DS17" s="14"/>
      <c r="DT17" s="14"/>
      <c r="DU17" s="14"/>
      <c r="DV17" s="14"/>
      <c r="DW17" s="14"/>
      <c r="DX17" s="14"/>
      <c r="DY17" s="15">
        <f t="shared" si="203"/>
        <v>1008</v>
      </c>
    </row>
    <row r="18" spans="3:129" hidden="1" x14ac:dyDescent="0.3">
      <c r="C18" s="42" t="s">
        <v>5</v>
      </c>
      <c r="D18" s="31"/>
      <c r="E18" s="41">
        <v>1000</v>
      </c>
      <c r="F18" s="41"/>
      <c r="G18" s="41"/>
      <c r="H18" s="41"/>
      <c r="I18" s="41"/>
      <c r="J18" s="41"/>
      <c r="K18" s="41"/>
      <c r="L18" s="41"/>
      <c r="M18" s="41"/>
      <c r="N18" s="41"/>
      <c r="O18" s="41"/>
      <c r="P18" s="41"/>
      <c r="Q18" s="40">
        <f t="shared" si="204"/>
        <v>1000</v>
      </c>
      <c r="S18" s="14">
        <v>1001</v>
      </c>
      <c r="T18" s="14"/>
      <c r="U18" s="14"/>
      <c r="V18" s="14"/>
      <c r="W18" s="14"/>
      <c r="X18" s="14"/>
      <c r="Y18" s="14"/>
      <c r="Z18" s="14"/>
      <c r="AA18" s="14"/>
      <c r="AB18" s="14"/>
      <c r="AC18" s="14"/>
      <c r="AD18" s="14"/>
      <c r="AE18" s="15">
        <f t="shared" si="205"/>
        <v>1001</v>
      </c>
      <c r="AG18" s="14">
        <v>1002</v>
      </c>
      <c r="AH18" s="14"/>
      <c r="AI18" s="14"/>
      <c r="AJ18" s="14"/>
      <c r="AK18" s="14"/>
      <c r="AL18" s="14"/>
      <c r="AM18" s="14"/>
      <c r="AN18" s="14"/>
      <c r="AO18" s="14"/>
      <c r="AP18" s="14"/>
      <c r="AQ18" s="14"/>
      <c r="AR18" s="14"/>
      <c r="AS18" s="15">
        <f t="shared" si="197"/>
        <v>1002</v>
      </c>
      <c r="AU18" s="14">
        <v>1003</v>
      </c>
      <c r="AV18" s="14"/>
      <c r="AW18" s="14"/>
      <c r="AX18" s="14"/>
      <c r="AY18" s="14"/>
      <c r="AZ18" s="14"/>
      <c r="BA18" s="14"/>
      <c r="BB18" s="14"/>
      <c r="BC18" s="14"/>
      <c r="BD18" s="14"/>
      <c r="BE18" s="14"/>
      <c r="BF18" s="14"/>
      <c r="BG18" s="15">
        <f t="shared" si="198"/>
        <v>1003</v>
      </c>
      <c r="BI18" s="14">
        <v>1004</v>
      </c>
      <c r="BJ18" s="14"/>
      <c r="BK18" s="14"/>
      <c r="BL18" s="14"/>
      <c r="BM18" s="14"/>
      <c r="BN18" s="14"/>
      <c r="BO18" s="14"/>
      <c r="BP18" s="14"/>
      <c r="BQ18" s="14"/>
      <c r="BR18" s="14"/>
      <c r="BS18" s="14"/>
      <c r="BT18" s="14"/>
      <c r="BU18" s="15">
        <f t="shared" si="199"/>
        <v>1004</v>
      </c>
      <c r="BW18" s="14">
        <v>1005</v>
      </c>
      <c r="BX18" s="14"/>
      <c r="BY18" s="14"/>
      <c r="BZ18" s="14"/>
      <c r="CA18" s="14"/>
      <c r="CB18" s="14"/>
      <c r="CC18" s="14"/>
      <c r="CD18" s="14"/>
      <c r="CE18" s="14"/>
      <c r="CF18" s="14"/>
      <c r="CG18" s="14"/>
      <c r="CH18" s="14"/>
      <c r="CI18" s="15">
        <f t="shared" si="200"/>
        <v>1005</v>
      </c>
      <c r="CK18" s="14">
        <v>1006</v>
      </c>
      <c r="CL18" s="14"/>
      <c r="CM18" s="14"/>
      <c r="CN18" s="14"/>
      <c r="CO18" s="14"/>
      <c r="CP18" s="14"/>
      <c r="CQ18" s="14"/>
      <c r="CR18" s="14"/>
      <c r="CS18" s="14"/>
      <c r="CT18" s="14"/>
      <c r="CU18" s="14"/>
      <c r="CV18" s="14"/>
      <c r="CW18" s="15">
        <f t="shared" si="201"/>
        <v>1006</v>
      </c>
      <c r="CY18" s="14">
        <v>1007</v>
      </c>
      <c r="CZ18" s="14"/>
      <c r="DA18" s="14"/>
      <c r="DB18" s="14"/>
      <c r="DC18" s="14"/>
      <c r="DD18" s="14"/>
      <c r="DE18" s="14"/>
      <c r="DF18" s="14"/>
      <c r="DG18" s="14"/>
      <c r="DH18" s="14"/>
      <c r="DI18" s="14"/>
      <c r="DJ18" s="14"/>
      <c r="DK18" s="15">
        <f t="shared" si="202"/>
        <v>1007</v>
      </c>
      <c r="DM18" s="14">
        <v>1008</v>
      </c>
      <c r="DN18" s="14"/>
      <c r="DO18" s="14"/>
      <c r="DP18" s="14"/>
      <c r="DQ18" s="14"/>
      <c r="DR18" s="14"/>
      <c r="DS18" s="14"/>
      <c r="DT18" s="14"/>
      <c r="DU18" s="14"/>
      <c r="DV18" s="14"/>
      <c r="DW18" s="14"/>
      <c r="DX18" s="14"/>
      <c r="DY18" s="15">
        <f t="shared" si="203"/>
        <v>1008</v>
      </c>
    </row>
    <row r="19" spans="3:129" hidden="1" x14ac:dyDescent="0.3">
      <c r="C19" s="42" t="s">
        <v>5</v>
      </c>
      <c r="D19" s="31"/>
      <c r="E19" s="41">
        <v>1000</v>
      </c>
      <c r="F19" s="41"/>
      <c r="G19" s="41"/>
      <c r="H19" s="41"/>
      <c r="I19" s="41"/>
      <c r="J19" s="41"/>
      <c r="K19" s="41"/>
      <c r="L19" s="41"/>
      <c r="M19" s="41"/>
      <c r="N19" s="41"/>
      <c r="O19" s="41"/>
      <c r="P19" s="41"/>
      <c r="Q19" s="40">
        <f t="shared" si="204"/>
        <v>1000</v>
      </c>
      <c r="S19" s="14">
        <v>1001</v>
      </c>
      <c r="T19" s="14"/>
      <c r="U19" s="14"/>
      <c r="V19" s="14"/>
      <c r="W19" s="14"/>
      <c r="X19" s="14"/>
      <c r="Y19" s="14"/>
      <c r="Z19" s="14"/>
      <c r="AA19" s="14"/>
      <c r="AB19" s="14"/>
      <c r="AC19" s="14"/>
      <c r="AD19" s="14"/>
      <c r="AE19" s="15">
        <f t="shared" si="205"/>
        <v>1001</v>
      </c>
      <c r="AG19" s="14">
        <v>1002</v>
      </c>
      <c r="AH19" s="14"/>
      <c r="AI19" s="14"/>
      <c r="AJ19" s="14"/>
      <c r="AK19" s="14"/>
      <c r="AL19" s="14"/>
      <c r="AM19" s="14"/>
      <c r="AN19" s="14"/>
      <c r="AO19" s="14"/>
      <c r="AP19" s="14"/>
      <c r="AQ19" s="14"/>
      <c r="AR19" s="14"/>
      <c r="AS19" s="15">
        <f t="shared" si="197"/>
        <v>1002</v>
      </c>
      <c r="AU19" s="14">
        <v>1003</v>
      </c>
      <c r="AV19" s="14"/>
      <c r="AW19" s="14"/>
      <c r="AX19" s="14"/>
      <c r="AY19" s="14"/>
      <c r="AZ19" s="14"/>
      <c r="BA19" s="14"/>
      <c r="BB19" s="14"/>
      <c r="BC19" s="14"/>
      <c r="BD19" s="14"/>
      <c r="BE19" s="14"/>
      <c r="BF19" s="14"/>
      <c r="BG19" s="15">
        <f t="shared" si="198"/>
        <v>1003</v>
      </c>
      <c r="BI19" s="14">
        <v>1004</v>
      </c>
      <c r="BJ19" s="14"/>
      <c r="BK19" s="14"/>
      <c r="BL19" s="14"/>
      <c r="BM19" s="14"/>
      <c r="BN19" s="14"/>
      <c r="BO19" s="14"/>
      <c r="BP19" s="14"/>
      <c r="BQ19" s="14"/>
      <c r="BR19" s="14"/>
      <c r="BS19" s="14"/>
      <c r="BT19" s="14"/>
      <c r="BU19" s="15">
        <f t="shared" si="199"/>
        <v>1004</v>
      </c>
      <c r="BW19" s="14">
        <v>1005</v>
      </c>
      <c r="BX19" s="14"/>
      <c r="BY19" s="14"/>
      <c r="BZ19" s="14"/>
      <c r="CA19" s="14"/>
      <c r="CB19" s="14"/>
      <c r="CC19" s="14"/>
      <c r="CD19" s="14"/>
      <c r="CE19" s="14"/>
      <c r="CF19" s="14"/>
      <c r="CG19" s="14"/>
      <c r="CH19" s="14"/>
      <c r="CI19" s="15">
        <f t="shared" si="200"/>
        <v>1005</v>
      </c>
      <c r="CK19" s="14">
        <v>1006</v>
      </c>
      <c r="CL19" s="14"/>
      <c r="CM19" s="14"/>
      <c r="CN19" s="14"/>
      <c r="CO19" s="14"/>
      <c r="CP19" s="14"/>
      <c r="CQ19" s="14"/>
      <c r="CR19" s="14"/>
      <c r="CS19" s="14"/>
      <c r="CT19" s="14"/>
      <c r="CU19" s="14"/>
      <c r="CV19" s="14"/>
      <c r="CW19" s="15">
        <f t="shared" si="201"/>
        <v>1006</v>
      </c>
      <c r="CY19" s="14">
        <v>1007</v>
      </c>
      <c r="CZ19" s="14"/>
      <c r="DA19" s="14"/>
      <c r="DB19" s="14"/>
      <c r="DC19" s="14"/>
      <c r="DD19" s="14"/>
      <c r="DE19" s="14"/>
      <c r="DF19" s="14"/>
      <c r="DG19" s="14"/>
      <c r="DH19" s="14"/>
      <c r="DI19" s="14"/>
      <c r="DJ19" s="14"/>
      <c r="DK19" s="15">
        <f t="shared" si="202"/>
        <v>1007</v>
      </c>
      <c r="DM19" s="14">
        <v>1008</v>
      </c>
      <c r="DN19" s="14"/>
      <c r="DO19" s="14"/>
      <c r="DP19" s="14"/>
      <c r="DQ19" s="14"/>
      <c r="DR19" s="14"/>
      <c r="DS19" s="14"/>
      <c r="DT19" s="14"/>
      <c r="DU19" s="14"/>
      <c r="DV19" s="14"/>
      <c r="DW19" s="14"/>
      <c r="DX19" s="14"/>
      <c r="DY19" s="15">
        <f t="shared" si="203"/>
        <v>1008</v>
      </c>
    </row>
    <row r="20" spans="3:129" hidden="1" x14ac:dyDescent="0.3">
      <c r="C20" s="42" t="s">
        <v>5</v>
      </c>
      <c r="D20" s="31"/>
      <c r="E20" s="41"/>
      <c r="F20" s="41"/>
      <c r="G20" s="41"/>
      <c r="H20" s="41"/>
      <c r="I20" s="41"/>
      <c r="J20" s="41"/>
      <c r="K20" s="41"/>
      <c r="L20" s="41"/>
      <c r="M20" s="41"/>
      <c r="N20" s="41"/>
      <c r="O20" s="41"/>
      <c r="P20" s="41"/>
      <c r="Q20" s="40">
        <f t="shared" si="204"/>
        <v>0</v>
      </c>
      <c r="S20" s="14"/>
      <c r="T20" s="14"/>
      <c r="U20" s="14"/>
      <c r="V20" s="14"/>
      <c r="W20" s="14"/>
      <c r="X20" s="14"/>
      <c r="Y20" s="14"/>
      <c r="Z20" s="14"/>
      <c r="AA20" s="14"/>
      <c r="AB20" s="14"/>
      <c r="AC20" s="14"/>
      <c r="AD20" s="14"/>
      <c r="AE20" s="15">
        <f t="shared" si="205"/>
        <v>0</v>
      </c>
      <c r="AG20" s="14"/>
      <c r="AH20" s="14"/>
      <c r="AI20" s="14"/>
      <c r="AJ20" s="14"/>
      <c r="AK20" s="14"/>
      <c r="AL20" s="14"/>
      <c r="AM20" s="14"/>
      <c r="AN20" s="14"/>
      <c r="AO20" s="14"/>
      <c r="AP20" s="14"/>
      <c r="AQ20" s="14"/>
      <c r="AR20" s="14"/>
      <c r="AS20" s="15">
        <f t="shared" si="197"/>
        <v>0</v>
      </c>
      <c r="AU20" s="14"/>
      <c r="AV20" s="14"/>
      <c r="AW20" s="14"/>
      <c r="AX20" s="14"/>
      <c r="AY20" s="14"/>
      <c r="AZ20" s="14"/>
      <c r="BA20" s="14"/>
      <c r="BB20" s="14"/>
      <c r="BC20" s="14"/>
      <c r="BD20" s="14"/>
      <c r="BE20" s="14"/>
      <c r="BF20" s="14"/>
      <c r="BG20" s="15">
        <f t="shared" si="198"/>
        <v>0</v>
      </c>
      <c r="BI20" s="14"/>
      <c r="BJ20" s="14"/>
      <c r="BK20" s="14"/>
      <c r="BL20" s="14"/>
      <c r="BM20" s="14"/>
      <c r="BN20" s="14"/>
      <c r="BO20" s="14"/>
      <c r="BP20" s="14"/>
      <c r="BQ20" s="14"/>
      <c r="BR20" s="14"/>
      <c r="BS20" s="14"/>
      <c r="BT20" s="14"/>
      <c r="BU20" s="15">
        <f t="shared" si="199"/>
        <v>0</v>
      </c>
      <c r="BW20" s="14"/>
      <c r="BX20" s="14"/>
      <c r="BY20" s="14"/>
      <c r="BZ20" s="14"/>
      <c r="CA20" s="14"/>
      <c r="CB20" s="14"/>
      <c r="CC20" s="14"/>
      <c r="CD20" s="14"/>
      <c r="CE20" s="14"/>
      <c r="CF20" s="14"/>
      <c r="CG20" s="14"/>
      <c r="CH20" s="14"/>
      <c r="CI20" s="15">
        <f t="shared" si="200"/>
        <v>0</v>
      </c>
      <c r="CK20" s="14"/>
      <c r="CL20" s="14"/>
      <c r="CM20" s="14"/>
      <c r="CN20" s="14"/>
      <c r="CO20" s="14"/>
      <c r="CP20" s="14"/>
      <c r="CQ20" s="14"/>
      <c r="CR20" s="14"/>
      <c r="CS20" s="14"/>
      <c r="CT20" s="14"/>
      <c r="CU20" s="14"/>
      <c r="CV20" s="14"/>
      <c r="CW20" s="15">
        <f t="shared" si="201"/>
        <v>0</v>
      </c>
      <c r="CY20" s="14"/>
      <c r="CZ20" s="14"/>
      <c r="DA20" s="14"/>
      <c r="DB20" s="14"/>
      <c r="DC20" s="14"/>
      <c r="DD20" s="14"/>
      <c r="DE20" s="14"/>
      <c r="DF20" s="14"/>
      <c r="DG20" s="14"/>
      <c r="DH20" s="14"/>
      <c r="DI20" s="14"/>
      <c r="DJ20" s="14"/>
      <c r="DK20" s="15">
        <f t="shared" si="202"/>
        <v>0</v>
      </c>
      <c r="DM20" s="14"/>
      <c r="DN20" s="14"/>
      <c r="DO20" s="14"/>
      <c r="DP20" s="14"/>
      <c r="DQ20" s="14"/>
      <c r="DR20" s="14"/>
      <c r="DS20" s="14"/>
      <c r="DT20" s="14"/>
      <c r="DU20" s="14"/>
      <c r="DV20" s="14"/>
      <c r="DW20" s="14"/>
      <c r="DX20" s="14"/>
      <c r="DY20" s="15">
        <f t="shared" si="203"/>
        <v>0</v>
      </c>
    </row>
    <row r="21" spans="3:129" ht="15.6" hidden="1" customHeight="1" x14ac:dyDescent="0.3">
      <c r="C21" s="42" t="s">
        <v>5</v>
      </c>
      <c r="D21" s="31"/>
      <c r="E21" s="41"/>
      <c r="F21" s="41"/>
      <c r="G21" s="41"/>
      <c r="H21" s="41"/>
      <c r="I21" s="41"/>
      <c r="J21" s="41"/>
      <c r="K21" s="41"/>
      <c r="L21" s="41"/>
      <c r="M21" s="41"/>
      <c r="N21" s="41"/>
      <c r="O21" s="41"/>
      <c r="P21" s="41"/>
      <c r="Q21" s="40">
        <f t="shared" si="204"/>
        <v>0</v>
      </c>
      <c r="S21" s="14"/>
      <c r="T21" s="14"/>
      <c r="U21" s="14"/>
      <c r="V21" s="14"/>
      <c r="W21" s="14"/>
      <c r="X21" s="14"/>
      <c r="Y21" s="14"/>
      <c r="Z21" s="14"/>
      <c r="AA21" s="14"/>
      <c r="AB21" s="14"/>
      <c r="AC21" s="14"/>
      <c r="AD21" s="14"/>
      <c r="AE21" s="15">
        <f t="shared" si="205"/>
        <v>0</v>
      </c>
      <c r="AG21" s="14"/>
      <c r="AH21" s="14"/>
      <c r="AI21" s="14"/>
      <c r="AJ21" s="14"/>
      <c r="AK21" s="14"/>
      <c r="AL21" s="14"/>
      <c r="AM21" s="14"/>
      <c r="AN21" s="14"/>
      <c r="AO21" s="14"/>
      <c r="AP21" s="14"/>
      <c r="AQ21" s="14"/>
      <c r="AR21" s="14"/>
      <c r="AS21" s="15">
        <f t="shared" si="197"/>
        <v>0</v>
      </c>
      <c r="AU21" s="14"/>
      <c r="AV21" s="14"/>
      <c r="AW21" s="14"/>
      <c r="AX21" s="14"/>
      <c r="AY21" s="14"/>
      <c r="AZ21" s="14"/>
      <c r="BA21" s="14"/>
      <c r="BB21" s="14"/>
      <c r="BC21" s="14"/>
      <c r="BD21" s="14"/>
      <c r="BE21" s="14"/>
      <c r="BF21" s="14"/>
      <c r="BG21" s="15">
        <f t="shared" si="198"/>
        <v>0</v>
      </c>
      <c r="BI21" s="14"/>
      <c r="BJ21" s="14"/>
      <c r="BK21" s="14"/>
      <c r="BL21" s="14"/>
      <c r="BM21" s="14"/>
      <c r="BN21" s="14"/>
      <c r="BO21" s="14"/>
      <c r="BP21" s="14"/>
      <c r="BQ21" s="14"/>
      <c r="BR21" s="14"/>
      <c r="BS21" s="14"/>
      <c r="BT21" s="14"/>
      <c r="BU21" s="15">
        <f t="shared" si="199"/>
        <v>0</v>
      </c>
      <c r="BW21" s="14"/>
      <c r="BX21" s="14"/>
      <c r="BY21" s="14"/>
      <c r="BZ21" s="14"/>
      <c r="CA21" s="14"/>
      <c r="CB21" s="14"/>
      <c r="CC21" s="14"/>
      <c r="CD21" s="14"/>
      <c r="CE21" s="14"/>
      <c r="CF21" s="14"/>
      <c r="CG21" s="14"/>
      <c r="CH21" s="14"/>
      <c r="CI21" s="15">
        <f t="shared" si="200"/>
        <v>0</v>
      </c>
      <c r="CK21" s="14"/>
      <c r="CL21" s="14"/>
      <c r="CM21" s="14"/>
      <c r="CN21" s="14"/>
      <c r="CO21" s="14"/>
      <c r="CP21" s="14"/>
      <c r="CQ21" s="14"/>
      <c r="CR21" s="14"/>
      <c r="CS21" s="14"/>
      <c r="CT21" s="14"/>
      <c r="CU21" s="14"/>
      <c r="CV21" s="14"/>
      <c r="CW21" s="15">
        <f t="shared" si="201"/>
        <v>0</v>
      </c>
      <c r="CY21" s="14"/>
      <c r="CZ21" s="14"/>
      <c r="DA21" s="14"/>
      <c r="DB21" s="14"/>
      <c r="DC21" s="14"/>
      <c r="DD21" s="14"/>
      <c r="DE21" s="14"/>
      <c r="DF21" s="14"/>
      <c r="DG21" s="14"/>
      <c r="DH21" s="14"/>
      <c r="DI21" s="14"/>
      <c r="DJ21" s="14"/>
      <c r="DK21" s="15">
        <f t="shared" si="202"/>
        <v>0</v>
      </c>
      <c r="DM21" s="14"/>
      <c r="DN21" s="14"/>
      <c r="DO21" s="14"/>
      <c r="DP21" s="14"/>
      <c r="DQ21" s="14"/>
      <c r="DR21" s="14"/>
      <c r="DS21" s="14"/>
      <c r="DT21" s="14"/>
      <c r="DU21" s="14"/>
      <c r="DV21" s="14"/>
      <c r="DW21" s="14"/>
      <c r="DX21" s="14"/>
      <c r="DY21" s="15">
        <f t="shared" si="203"/>
        <v>0</v>
      </c>
    </row>
    <row r="22" spans="3:129" ht="12" hidden="1" customHeight="1" x14ac:dyDescent="0.3">
      <c r="C22" s="93"/>
      <c r="D22" s="31"/>
      <c r="E22" s="41"/>
      <c r="F22" s="41"/>
      <c r="G22" s="41"/>
      <c r="H22" s="41"/>
      <c r="I22" s="41"/>
      <c r="J22" s="41"/>
      <c r="K22" s="41"/>
      <c r="L22" s="41"/>
      <c r="M22" s="41"/>
      <c r="N22" s="41"/>
      <c r="O22" s="41"/>
      <c r="P22" s="41"/>
      <c r="Q22" s="40">
        <f t="shared" si="204"/>
        <v>0</v>
      </c>
      <c r="S22" s="14"/>
      <c r="T22" s="14"/>
      <c r="U22" s="14"/>
      <c r="V22" s="14"/>
      <c r="W22" s="14"/>
      <c r="X22" s="14"/>
      <c r="Y22" s="14"/>
      <c r="Z22" s="14"/>
      <c r="AA22" s="14"/>
      <c r="AB22" s="14"/>
      <c r="AC22" s="14"/>
      <c r="AD22" s="14"/>
      <c r="AE22" s="15">
        <f t="shared" si="205"/>
        <v>0</v>
      </c>
      <c r="AG22" s="14"/>
      <c r="AH22" s="14"/>
      <c r="AI22" s="14"/>
      <c r="AJ22" s="14"/>
      <c r="AK22" s="14"/>
      <c r="AL22" s="14"/>
      <c r="AM22" s="14"/>
      <c r="AN22" s="14"/>
      <c r="AO22" s="14"/>
      <c r="AP22" s="14"/>
      <c r="AQ22" s="14"/>
      <c r="AR22" s="14"/>
      <c r="AS22" s="15">
        <f t="shared" si="197"/>
        <v>0</v>
      </c>
      <c r="AU22" s="14"/>
      <c r="AV22" s="14"/>
      <c r="AW22" s="14"/>
      <c r="AX22" s="14"/>
      <c r="AY22" s="14"/>
      <c r="AZ22" s="14"/>
      <c r="BA22" s="14"/>
      <c r="BB22" s="14"/>
      <c r="BC22" s="14"/>
      <c r="BD22" s="14"/>
      <c r="BE22" s="14"/>
      <c r="BF22" s="14"/>
      <c r="BG22" s="15">
        <f t="shared" si="198"/>
        <v>0</v>
      </c>
      <c r="BI22" s="14"/>
      <c r="BJ22" s="14"/>
      <c r="BK22" s="14"/>
      <c r="BL22" s="14"/>
      <c r="BM22" s="14"/>
      <c r="BN22" s="14"/>
      <c r="BO22" s="14"/>
      <c r="BP22" s="14"/>
      <c r="BQ22" s="14"/>
      <c r="BR22" s="14"/>
      <c r="BS22" s="14"/>
      <c r="BT22" s="14"/>
      <c r="BU22" s="15">
        <f t="shared" si="199"/>
        <v>0</v>
      </c>
      <c r="BW22" s="14"/>
      <c r="BX22" s="14"/>
      <c r="BY22" s="14"/>
      <c r="BZ22" s="14"/>
      <c r="CA22" s="14"/>
      <c r="CB22" s="14"/>
      <c r="CC22" s="14"/>
      <c r="CD22" s="14"/>
      <c r="CE22" s="14"/>
      <c r="CF22" s="14"/>
      <c r="CG22" s="14"/>
      <c r="CH22" s="14"/>
      <c r="CI22" s="15">
        <f t="shared" si="200"/>
        <v>0</v>
      </c>
      <c r="CK22" s="14"/>
      <c r="CL22" s="14"/>
      <c r="CM22" s="14"/>
      <c r="CN22" s="14"/>
      <c r="CO22" s="14"/>
      <c r="CP22" s="14"/>
      <c r="CQ22" s="14"/>
      <c r="CR22" s="14"/>
      <c r="CS22" s="14"/>
      <c r="CT22" s="14"/>
      <c r="CU22" s="14"/>
      <c r="CV22" s="14"/>
      <c r="CW22" s="15">
        <f t="shared" si="201"/>
        <v>0</v>
      </c>
      <c r="CY22" s="14"/>
      <c r="CZ22" s="14"/>
      <c r="DA22" s="14"/>
      <c r="DB22" s="14"/>
      <c r="DC22" s="14"/>
      <c r="DD22" s="14"/>
      <c r="DE22" s="14"/>
      <c r="DF22" s="14"/>
      <c r="DG22" s="14"/>
      <c r="DH22" s="14"/>
      <c r="DI22" s="14"/>
      <c r="DJ22" s="14"/>
      <c r="DK22" s="15">
        <f t="shared" si="202"/>
        <v>0</v>
      </c>
      <c r="DM22" s="14"/>
      <c r="DN22" s="14"/>
      <c r="DO22" s="14"/>
      <c r="DP22" s="14"/>
      <c r="DQ22" s="14"/>
      <c r="DR22" s="14"/>
      <c r="DS22" s="14"/>
      <c r="DT22" s="14"/>
      <c r="DU22" s="14"/>
      <c r="DV22" s="14"/>
      <c r="DW22" s="14"/>
      <c r="DX22" s="14"/>
      <c r="DY22" s="15">
        <f t="shared" si="203"/>
        <v>0</v>
      </c>
    </row>
    <row r="23" spans="3:129" x14ac:dyDescent="0.3">
      <c r="C23" s="43" t="s">
        <v>6</v>
      </c>
      <c r="D23" s="44"/>
      <c r="E23" s="45" cm="1">
        <f t="array" aca="1" ref="E23" ca="1">SUM(INDIRECT(ADDRESS(income_min_row, COLUMN()) &amp; ":" &amp; ADDRESS(Income_max_row,COLUMN())))</f>
        <v>3500</v>
      </c>
      <c r="F23" s="45" cm="1">
        <f t="array" aca="1" ref="F23" ca="1">SUM(INDIRECT(ADDRESS(income_min_row, COLUMN()) &amp; ":" &amp; ADDRESS(Income_max_row,COLUMN())))</f>
        <v>2500</v>
      </c>
      <c r="G23" s="45" cm="1">
        <f t="array" aca="1" ref="G23" ca="1">SUM(INDIRECT(ADDRESS(income_min_row, COLUMN()) &amp; ":" &amp; ADDRESS(Income_max_row,COLUMN())))</f>
        <v>2500</v>
      </c>
      <c r="H23" s="45" cm="1">
        <f t="array" aca="1" ref="H23" ca="1">SUM(INDIRECT(ADDRESS(income_min_row, COLUMN()) &amp; ":" &amp; ADDRESS(Income_max_row,COLUMN())))</f>
        <v>2500</v>
      </c>
      <c r="I23" s="45" cm="1">
        <f t="array" aca="1" ref="I23" ca="1">SUM(INDIRECT(ADDRESS(income_min_row, COLUMN()) &amp; ":" &amp; ADDRESS(Income_max_row,COLUMN())))</f>
        <v>2500</v>
      </c>
      <c r="J23" s="45" cm="1">
        <f t="array" aca="1" ref="J23" ca="1">SUM(INDIRECT(ADDRESS(income_min_row, COLUMN()) &amp; ":" &amp; ADDRESS(Income_max_row,COLUMN())))</f>
        <v>2500</v>
      </c>
      <c r="K23" s="45" cm="1">
        <f t="array" aca="1" ref="K23" ca="1">SUM(INDIRECT(ADDRESS(income_min_row, COLUMN()) &amp; ":" &amp; ADDRESS(Income_max_row,COLUMN())))</f>
        <v>2500</v>
      </c>
      <c r="L23" s="45" cm="1">
        <f t="array" aca="1" ref="L23" ca="1">SUM(INDIRECT(ADDRESS(income_min_row, COLUMN()) &amp; ":" &amp; ADDRESS(Income_max_row,COLUMN())))</f>
        <v>2500</v>
      </c>
      <c r="M23" s="45" cm="1">
        <f t="array" aca="1" ref="M23" ca="1">SUM(INDIRECT(ADDRESS(income_min_row, COLUMN()) &amp; ":" &amp; ADDRESS(Income_max_row,COLUMN())))</f>
        <v>2500</v>
      </c>
      <c r="N23" s="45" cm="1">
        <f t="array" aca="1" ref="N23" ca="1">SUM(INDIRECT(ADDRESS(income_min_row, COLUMN()) &amp; ":" &amp; ADDRESS(Income_max_row,COLUMN())))</f>
        <v>2500</v>
      </c>
      <c r="O23" s="45" cm="1">
        <f t="array" aca="1" ref="O23" ca="1">SUM(INDIRECT(ADDRESS(income_min_row, COLUMN()) &amp; ":" &amp; ADDRESS(Income_max_row,COLUMN())))</f>
        <v>2500</v>
      </c>
      <c r="P23" s="45" cm="1">
        <f t="array" aca="1" ref="P23" ca="1">SUM(INDIRECT(ADDRESS(income_min_row, COLUMN()) &amp; ":" &amp; ADDRESS(Income_max_row,COLUMN())))</f>
        <v>2500</v>
      </c>
      <c r="Q23" s="45" cm="1">
        <f t="array" aca="1" ref="Q23" ca="1">SUM(INDIRECT(ADDRESS(income_min_row, COLUMN()) &amp; ":" &amp; ADDRESS(Income_max_row,COLUMN())))</f>
        <v>31000</v>
      </c>
      <c r="S23" s="16" cm="1">
        <f t="array" aca="1" ref="S23" ca="1">SUM(INDIRECT(ADDRESS(income_min_row, COLUMN()) &amp; ":" &amp; ADDRESS(Income_max_row,COLUMN())))</f>
        <v>1001</v>
      </c>
      <c r="T23" s="16" cm="1">
        <f t="array" aca="1" ref="T23" ca="1">SUM(INDIRECT(ADDRESS(income_min_row, COLUMN()) &amp; ":" &amp; ADDRESS(Income_max_row,COLUMN())))</f>
        <v>0</v>
      </c>
      <c r="U23" s="16" cm="1">
        <f t="array" aca="1" ref="U23" ca="1">SUM(INDIRECT(ADDRESS(income_min_row, COLUMN()) &amp; ":" &amp; ADDRESS(Income_max_row,COLUMN())))</f>
        <v>0</v>
      </c>
      <c r="V23" s="16" cm="1">
        <f t="array" aca="1" ref="V23" ca="1">SUM(INDIRECT(ADDRESS(income_min_row, COLUMN()) &amp; ":" &amp; ADDRESS(Income_max_row,COLUMN())))</f>
        <v>0</v>
      </c>
      <c r="W23" s="16" cm="1">
        <f t="array" aca="1" ref="W23" ca="1">SUM(INDIRECT(ADDRESS(income_min_row, COLUMN()) &amp; ":" &amp; ADDRESS(Income_max_row,COLUMN())))</f>
        <v>0</v>
      </c>
      <c r="X23" s="16" cm="1">
        <f t="array" aca="1" ref="X23" ca="1">SUM(INDIRECT(ADDRESS(income_min_row, COLUMN()) &amp; ":" &amp; ADDRESS(Income_max_row,COLUMN())))</f>
        <v>0</v>
      </c>
      <c r="Y23" s="16" cm="1">
        <f t="array" aca="1" ref="Y23" ca="1">SUM(INDIRECT(ADDRESS(income_min_row, COLUMN()) &amp; ":" &amp; ADDRESS(Income_max_row,COLUMN())))</f>
        <v>0</v>
      </c>
      <c r="Z23" s="16" cm="1">
        <f t="array" aca="1" ref="Z23" ca="1">SUM(INDIRECT(ADDRESS(income_min_row, COLUMN()) &amp; ":" &amp; ADDRESS(Income_max_row,COLUMN())))</f>
        <v>0</v>
      </c>
      <c r="AA23" s="16" cm="1">
        <f t="array" aca="1" ref="AA23" ca="1">SUM(INDIRECT(ADDRESS(income_min_row, COLUMN()) &amp; ":" &amp; ADDRESS(Income_max_row,COLUMN())))</f>
        <v>0</v>
      </c>
      <c r="AB23" s="16" cm="1">
        <f t="array" aca="1" ref="AB23" ca="1">SUM(INDIRECT(ADDRESS(income_min_row, COLUMN()) &amp; ":" &amp; ADDRESS(Income_max_row,COLUMN())))</f>
        <v>0</v>
      </c>
      <c r="AC23" s="16" cm="1">
        <f t="array" aca="1" ref="AC23" ca="1">SUM(INDIRECT(ADDRESS(income_min_row, COLUMN()) &amp; ":" &amp; ADDRESS(Income_max_row,COLUMN())))</f>
        <v>0</v>
      </c>
      <c r="AD23" s="16" cm="1">
        <f t="array" aca="1" ref="AD23" ca="1">SUM(INDIRECT(ADDRESS(income_min_row, COLUMN()) &amp; ":" &amp; ADDRESS(Income_max_row,COLUMN())))</f>
        <v>0</v>
      </c>
      <c r="AE23" s="16" cm="1">
        <f t="array" aca="1" ref="AE23" ca="1">SUM(INDIRECT(ADDRESS(income_min_row, COLUMN()) &amp; ":" &amp; ADDRESS(Income_max_row,COLUMN())))</f>
        <v>1001</v>
      </c>
      <c r="AG23" s="16" cm="1">
        <f t="array" aca="1" ref="AG23" ca="1">SUM(INDIRECT(ADDRESS(income_min_row, COLUMN()) &amp; ":" &amp; ADDRESS(Income_max_row,COLUMN())))</f>
        <v>1002</v>
      </c>
      <c r="AH23" s="16" cm="1">
        <f t="array" aca="1" ref="AH23" ca="1">SUM(INDIRECT(ADDRESS(income_min_row, COLUMN()) &amp; ":" &amp; ADDRESS(Income_max_row,COLUMN())))</f>
        <v>0</v>
      </c>
      <c r="AI23" s="16" cm="1">
        <f t="array" aca="1" ref="AI23" ca="1">SUM(INDIRECT(ADDRESS(income_min_row, COLUMN()) &amp; ":" &amp; ADDRESS(Income_max_row,COLUMN())))</f>
        <v>0</v>
      </c>
      <c r="AJ23" s="16" cm="1">
        <f t="array" aca="1" ref="AJ23" ca="1">SUM(INDIRECT(ADDRESS(income_min_row, COLUMN()) &amp; ":" &amp; ADDRESS(Income_max_row,COLUMN())))</f>
        <v>0</v>
      </c>
      <c r="AK23" s="16" cm="1">
        <f t="array" aca="1" ref="AK23" ca="1">SUM(INDIRECT(ADDRESS(income_min_row, COLUMN()) &amp; ":" &amp; ADDRESS(Income_max_row,COLUMN())))</f>
        <v>0</v>
      </c>
      <c r="AL23" s="16" cm="1">
        <f t="array" aca="1" ref="AL23" ca="1">SUM(INDIRECT(ADDRESS(income_min_row, COLUMN()) &amp; ":" &amp; ADDRESS(Income_max_row,COLUMN())))</f>
        <v>0</v>
      </c>
      <c r="AM23" s="16" cm="1">
        <f t="array" aca="1" ref="AM23" ca="1">SUM(INDIRECT(ADDRESS(income_min_row, COLUMN()) &amp; ":" &amp; ADDRESS(Income_max_row,COLUMN())))</f>
        <v>0</v>
      </c>
      <c r="AN23" s="16" cm="1">
        <f t="array" aca="1" ref="AN23" ca="1">SUM(INDIRECT(ADDRESS(income_min_row, COLUMN()) &amp; ":" &amp; ADDRESS(Income_max_row,COLUMN())))</f>
        <v>0</v>
      </c>
      <c r="AO23" s="16" cm="1">
        <f t="array" aca="1" ref="AO23" ca="1">SUM(INDIRECT(ADDRESS(income_min_row, COLUMN()) &amp; ":" &amp; ADDRESS(Income_max_row,COLUMN())))</f>
        <v>0</v>
      </c>
      <c r="AP23" s="16" cm="1">
        <f t="array" aca="1" ref="AP23" ca="1">SUM(INDIRECT(ADDRESS(income_min_row, COLUMN()) &amp; ":" &amp; ADDRESS(Income_max_row,COLUMN())))</f>
        <v>0</v>
      </c>
      <c r="AQ23" s="16" cm="1">
        <f t="array" aca="1" ref="AQ23" ca="1">SUM(INDIRECT(ADDRESS(income_min_row, COLUMN()) &amp; ":" &amp; ADDRESS(Income_max_row,COLUMN())))</f>
        <v>0</v>
      </c>
      <c r="AR23" s="16" cm="1">
        <f t="array" aca="1" ref="AR23" ca="1">SUM(INDIRECT(ADDRESS(income_min_row, COLUMN()) &amp; ":" &amp; ADDRESS(Income_max_row,COLUMN())))</f>
        <v>0</v>
      </c>
      <c r="AS23" s="16" cm="1">
        <f t="array" aca="1" ref="AS23" ca="1">SUM(INDIRECT(ADDRESS(income_min_row, COLUMN()) &amp; ":" &amp; ADDRESS(Income_max_row,COLUMN())))</f>
        <v>1002</v>
      </c>
      <c r="AU23" s="16" cm="1">
        <f t="array" aca="1" ref="AU23" ca="1">SUM(INDIRECT(ADDRESS(income_min_row, COLUMN()) &amp; ":" &amp; ADDRESS(Income_max_row,COLUMN())))</f>
        <v>1003</v>
      </c>
      <c r="AV23" s="16" cm="1">
        <f t="array" aca="1" ref="AV23" ca="1">SUM(INDIRECT(ADDRESS(income_min_row, COLUMN()) &amp; ":" &amp; ADDRESS(Income_max_row,COLUMN())))</f>
        <v>0</v>
      </c>
      <c r="AW23" s="16" cm="1">
        <f t="array" aca="1" ref="AW23" ca="1">SUM(INDIRECT(ADDRESS(income_min_row, COLUMN()) &amp; ":" &amp; ADDRESS(Income_max_row,COLUMN())))</f>
        <v>0</v>
      </c>
      <c r="AX23" s="16" cm="1">
        <f t="array" aca="1" ref="AX23" ca="1">SUM(INDIRECT(ADDRESS(income_min_row, COLUMN()) &amp; ":" &amp; ADDRESS(Income_max_row,COLUMN())))</f>
        <v>0</v>
      </c>
      <c r="AY23" s="16" cm="1">
        <f t="array" aca="1" ref="AY23" ca="1">SUM(INDIRECT(ADDRESS(income_min_row, COLUMN()) &amp; ":" &amp; ADDRESS(Income_max_row,COLUMN())))</f>
        <v>0</v>
      </c>
      <c r="AZ23" s="16" cm="1">
        <f t="array" aca="1" ref="AZ23" ca="1">SUM(INDIRECT(ADDRESS(income_min_row, COLUMN()) &amp; ":" &amp; ADDRESS(Income_max_row,COLUMN())))</f>
        <v>0</v>
      </c>
      <c r="BA23" s="16" cm="1">
        <f t="array" aca="1" ref="BA23" ca="1">SUM(INDIRECT(ADDRESS(income_min_row, COLUMN()) &amp; ":" &amp; ADDRESS(Income_max_row,COLUMN())))</f>
        <v>0</v>
      </c>
      <c r="BB23" s="16" cm="1">
        <f t="array" aca="1" ref="BB23" ca="1">SUM(INDIRECT(ADDRESS(income_min_row, COLUMN()) &amp; ":" &amp; ADDRESS(Income_max_row,COLUMN())))</f>
        <v>0</v>
      </c>
      <c r="BC23" s="16" cm="1">
        <f t="array" aca="1" ref="BC23" ca="1">SUM(INDIRECT(ADDRESS(income_min_row, COLUMN()) &amp; ":" &amp; ADDRESS(Income_max_row,COLUMN())))</f>
        <v>0</v>
      </c>
      <c r="BD23" s="16" cm="1">
        <f t="array" aca="1" ref="BD23" ca="1">SUM(INDIRECT(ADDRESS(income_min_row, COLUMN()) &amp; ":" &amp; ADDRESS(Income_max_row,COLUMN())))</f>
        <v>0</v>
      </c>
      <c r="BE23" s="16" cm="1">
        <f t="array" aca="1" ref="BE23" ca="1">SUM(INDIRECT(ADDRESS(income_min_row, COLUMN()) &amp; ":" &amp; ADDRESS(Income_max_row,COLUMN())))</f>
        <v>0</v>
      </c>
      <c r="BF23" s="16" cm="1">
        <f t="array" aca="1" ref="BF23" ca="1">SUM(INDIRECT(ADDRESS(income_min_row, COLUMN()) &amp; ":" &amp; ADDRESS(Income_max_row,COLUMN())))</f>
        <v>0</v>
      </c>
      <c r="BG23" s="16" cm="1">
        <f t="array" aca="1" ref="BG23" ca="1">SUM(INDIRECT(ADDRESS(income_min_row, COLUMN()) &amp; ":" &amp; ADDRESS(Income_max_row,COLUMN())))</f>
        <v>1003</v>
      </c>
      <c r="BI23" s="16" cm="1">
        <f t="array" aca="1" ref="BI23" ca="1">SUM(INDIRECT(ADDRESS(income_min_row, COLUMN()) &amp; ":" &amp; ADDRESS(Income_max_row,COLUMN())))</f>
        <v>1004</v>
      </c>
      <c r="BJ23" s="16" cm="1">
        <f t="array" aca="1" ref="BJ23" ca="1">SUM(INDIRECT(ADDRESS(income_min_row, COLUMN()) &amp; ":" &amp; ADDRESS(Income_max_row,COLUMN())))</f>
        <v>0</v>
      </c>
      <c r="BK23" s="16" cm="1">
        <f t="array" aca="1" ref="BK23" ca="1">SUM(INDIRECT(ADDRESS(income_min_row, COLUMN()) &amp; ":" &amp; ADDRESS(Income_max_row,COLUMN())))</f>
        <v>0</v>
      </c>
      <c r="BL23" s="16" cm="1">
        <f t="array" aca="1" ref="BL23" ca="1">SUM(INDIRECT(ADDRESS(income_min_row, COLUMN()) &amp; ":" &amp; ADDRESS(Income_max_row,COLUMN())))</f>
        <v>0</v>
      </c>
      <c r="BM23" s="16" cm="1">
        <f t="array" aca="1" ref="BM23" ca="1">SUM(INDIRECT(ADDRESS(income_min_row, COLUMN()) &amp; ":" &amp; ADDRESS(Income_max_row,COLUMN())))</f>
        <v>0</v>
      </c>
      <c r="BN23" s="16" cm="1">
        <f t="array" aca="1" ref="BN23" ca="1">SUM(INDIRECT(ADDRESS(income_min_row, COLUMN()) &amp; ":" &amp; ADDRESS(Income_max_row,COLUMN())))</f>
        <v>0</v>
      </c>
      <c r="BO23" s="16" cm="1">
        <f t="array" aca="1" ref="BO23" ca="1">SUM(INDIRECT(ADDRESS(income_min_row, COLUMN()) &amp; ":" &amp; ADDRESS(Income_max_row,COLUMN())))</f>
        <v>0</v>
      </c>
      <c r="BP23" s="16" cm="1">
        <f t="array" aca="1" ref="BP23" ca="1">SUM(INDIRECT(ADDRESS(income_min_row, COLUMN()) &amp; ":" &amp; ADDRESS(Income_max_row,COLUMN())))</f>
        <v>0</v>
      </c>
      <c r="BQ23" s="16" cm="1">
        <f t="array" aca="1" ref="BQ23" ca="1">SUM(INDIRECT(ADDRESS(income_min_row, COLUMN()) &amp; ":" &amp; ADDRESS(Income_max_row,COLUMN())))</f>
        <v>0</v>
      </c>
      <c r="BR23" s="16" cm="1">
        <f t="array" aca="1" ref="BR23" ca="1">SUM(INDIRECT(ADDRESS(income_min_row, COLUMN()) &amp; ":" &amp; ADDRESS(Income_max_row,COLUMN())))</f>
        <v>0</v>
      </c>
      <c r="BS23" s="16" cm="1">
        <f t="array" aca="1" ref="BS23" ca="1">SUM(INDIRECT(ADDRESS(income_min_row, COLUMN()) &amp; ":" &amp; ADDRESS(Income_max_row,COLUMN())))</f>
        <v>0</v>
      </c>
      <c r="BT23" s="16" cm="1">
        <f t="array" aca="1" ref="BT23" ca="1">SUM(INDIRECT(ADDRESS(income_min_row, COLUMN()) &amp; ":" &amp; ADDRESS(Income_max_row,COLUMN())))</f>
        <v>0</v>
      </c>
      <c r="BU23" s="16" cm="1">
        <f t="array" aca="1" ref="BU23" ca="1">SUM(INDIRECT(ADDRESS(income_min_row, COLUMN()) &amp; ":" &amp; ADDRESS(Income_max_row,COLUMN())))</f>
        <v>1004</v>
      </c>
      <c r="BW23" s="16" cm="1">
        <f t="array" aca="1" ref="BW23" ca="1">SUM(INDIRECT(ADDRESS(income_min_row, COLUMN()) &amp; ":" &amp; ADDRESS(Income_max_row,COLUMN())))</f>
        <v>1005</v>
      </c>
      <c r="BX23" s="16" cm="1">
        <f t="array" aca="1" ref="BX23" ca="1">SUM(INDIRECT(ADDRESS(income_min_row, COLUMN()) &amp; ":" &amp; ADDRESS(Income_max_row,COLUMN())))</f>
        <v>0</v>
      </c>
      <c r="BY23" s="16" cm="1">
        <f t="array" aca="1" ref="BY23" ca="1">SUM(INDIRECT(ADDRESS(income_min_row, COLUMN()) &amp; ":" &amp; ADDRESS(Income_max_row,COLUMN())))</f>
        <v>0</v>
      </c>
      <c r="BZ23" s="16" cm="1">
        <f t="array" aca="1" ref="BZ23" ca="1">SUM(INDIRECT(ADDRESS(income_min_row, COLUMN()) &amp; ":" &amp; ADDRESS(Income_max_row,COLUMN())))</f>
        <v>0</v>
      </c>
      <c r="CA23" s="16" cm="1">
        <f t="array" aca="1" ref="CA23" ca="1">SUM(INDIRECT(ADDRESS(income_min_row, COLUMN()) &amp; ":" &amp; ADDRESS(Income_max_row,COLUMN())))</f>
        <v>0</v>
      </c>
      <c r="CB23" s="16" cm="1">
        <f t="array" aca="1" ref="CB23" ca="1">SUM(INDIRECT(ADDRESS(income_min_row, COLUMN()) &amp; ":" &amp; ADDRESS(Income_max_row,COLUMN())))</f>
        <v>0</v>
      </c>
      <c r="CC23" s="16" cm="1">
        <f t="array" aca="1" ref="CC23" ca="1">SUM(INDIRECT(ADDRESS(income_min_row, COLUMN()) &amp; ":" &amp; ADDRESS(Income_max_row,COLUMN())))</f>
        <v>0</v>
      </c>
      <c r="CD23" s="16" cm="1">
        <f t="array" aca="1" ref="CD23" ca="1">SUM(INDIRECT(ADDRESS(income_min_row, COLUMN()) &amp; ":" &amp; ADDRESS(Income_max_row,COLUMN())))</f>
        <v>0</v>
      </c>
      <c r="CE23" s="16" cm="1">
        <f t="array" aca="1" ref="CE23" ca="1">SUM(INDIRECT(ADDRESS(income_min_row, COLUMN()) &amp; ":" &amp; ADDRESS(Income_max_row,COLUMN())))</f>
        <v>0</v>
      </c>
      <c r="CF23" s="16" cm="1">
        <f t="array" aca="1" ref="CF23" ca="1">SUM(INDIRECT(ADDRESS(income_min_row, COLUMN()) &amp; ":" &amp; ADDRESS(Income_max_row,COLUMN())))</f>
        <v>0</v>
      </c>
      <c r="CG23" s="16" cm="1">
        <f t="array" aca="1" ref="CG23" ca="1">SUM(INDIRECT(ADDRESS(income_min_row, COLUMN()) &amp; ":" &amp; ADDRESS(Income_max_row,COLUMN())))</f>
        <v>0</v>
      </c>
      <c r="CH23" s="16" cm="1">
        <f t="array" aca="1" ref="CH23" ca="1">SUM(INDIRECT(ADDRESS(income_min_row, COLUMN()) &amp; ":" &amp; ADDRESS(Income_max_row,COLUMN())))</f>
        <v>0</v>
      </c>
      <c r="CI23" s="16" cm="1">
        <f t="array" aca="1" ref="CI23" ca="1">SUM(INDIRECT(ADDRESS(income_min_row, COLUMN()) &amp; ":" &amp; ADDRESS(Income_max_row,COLUMN())))</f>
        <v>1005</v>
      </c>
      <c r="CK23" s="16" cm="1">
        <f t="array" aca="1" ref="CK23" ca="1">SUM(INDIRECT(ADDRESS(income_min_row, COLUMN()) &amp; ":" &amp; ADDRESS(Income_max_row,COLUMN())))</f>
        <v>1006</v>
      </c>
      <c r="CL23" s="16" cm="1">
        <f t="array" aca="1" ref="CL23" ca="1">SUM(INDIRECT(ADDRESS(income_min_row, COLUMN()) &amp; ":" &amp; ADDRESS(Income_max_row,COLUMN())))</f>
        <v>0</v>
      </c>
      <c r="CM23" s="16" cm="1">
        <f t="array" aca="1" ref="CM23" ca="1">SUM(INDIRECT(ADDRESS(income_min_row, COLUMN()) &amp; ":" &amp; ADDRESS(Income_max_row,COLUMN())))</f>
        <v>0</v>
      </c>
      <c r="CN23" s="16" cm="1">
        <f t="array" aca="1" ref="CN23" ca="1">SUM(INDIRECT(ADDRESS(income_min_row, COLUMN()) &amp; ":" &amp; ADDRESS(Income_max_row,COLUMN())))</f>
        <v>0</v>
      </c>
      <c r="CO23" s="16" cm="1">
        <f t="array" aca="1" ref="CO23" ca="1">SUM(INDIRECT(ADDRESS(income_min_row, COLUMN()) &amp; ":" &amp; ADDRESS(Income_max_row,COLUMN())))</f>
        <v>0</v>
      </c>
      <c r="CP23" s="16" cm="1">
        <f t="array" aca="1" ref="CP23" ca="1">SUM(INDIRECT(ADDRESS(income_min_row, COLUMN()) &amp; ":" &amp; ADDRESS(Income_max_row,COLUMN())))</f>
        <v>0</v>
      </c>
      <c r="CQ23" s="16" cm="1">
        <f t="array" aca="1" ref="CQ23" ca="1">SUM(INDIRECT(ADDRESS(income_min_row, COLUMN()) &amp; ":" &amp; ADDRESS(Income_max_row,COLUMN())))</f>
        <v>0</v>
      </c>
      <c r="CR23" s="16" cm="1">
        <f t="array" aca="1" ref="CR23" ca="1">SUM(INDIRECT(ADDRESS(income_min_row, COLUMN()) &amp; ":" &amp; ADDRESS(Income_max_row,COLUMN())))</f>
        <v>0</v>
      </c>
      <c r="CS23" s="16" cm="1">
        <f t="array" aca="1" ref="CS23" ca="1">SUM(INDIRECT(ADDRESS(income_min_row, COLUMN()) &amp; ":" &amp; ADDRESS(Income_max_row,COLUMN())))</f>
        <v>0</v>
      </c>
      <c r="CT23" s="16" cm="1">
        <f t="array" aca="1" ref="CT23" ca="1">SUM(INDIRECT(ADDRESS(income_min_row, COLUMN()) &amp; ":" &amp; ADDRESS(Income_max_row,COLUMN())))</f>
        <v>0</v>
      </c>
      <c r="CU23" s="16" cm="1">
        <f t="array" aca="1" ref="CU23" ca="1">SUM(INDIRECT(ADDRESS(income_min_row, COLUMN()) &amp; ":" &amp; ADDRESS(Income_max_row,COLUMN())))</f>
        <v>0</v>
      </c>
      <c r="CV23" s="16" cm="1">
        <f t="array" aca="1" ref="CV23" ca="1">SUM(INDIRECT(ADDRESS(income_min_row, COLUMN()) &amp; ":" &amp; ADDRESS(Income_max_row,COLUMN())))</f>
        <v>0</v>
      </c>
      <c r="CW23" s="16" cm="1">
        <f t="array" aca="1" ref="CW23" ca="1">SUM(INDIRECT(ADDRESS(income_min_row, COLUMN()) &amp; ":" &amp; ADDRESS(Income_max_row,COLUMN())))</f>
        <v>1006</v>
      </c>
      <c r="CY23" s="16" cm="1">
        <f t="array" aca="1" ref="CY23" ca="1">SUM(INDIRECT(ADDRESS(income_min_row, COLUMN()) &amp; ":" &amp; ADDRESS(Income_max_row,COLUMN())))</f>
        <v>1007</v>
      </c>
      <c r="CZ23" s="16" cm="1">
        <f t="array" aca="1" ref="CZ23" ca="1">SUM(INDIRECT(ADDRESS(income_min_row, COLUMN()) &amp; ":" &amp; ADDRESS(Income_max_row,COLUMN())))</f>
        <v>0</v>
      </c>
      <c r="DA23" s="16" cm="1">
        <f t="array" aca="1" ref="DA23" ca="1">SUM(INDIRECT(ADDRESS(income_min_row, COLUMN()) &amp; ":" &amp; ADDRESS(Income_max_row,COLUMN())))</f>
        <v>0</v>
      </c>
      <c r="DB23" s="16" cm="1">
        <f t="array" aca="1" ref="DB23" ca="1">SUM(INDIRECT(ADDRESS(income_min_row, COLUMN()) &amp; ":" &amp; ADDRESS(Income_max_row,COLUMN())))</f>
        <v>0</v>
      </c>
      <c r="DC23" s="16" cm="1">
        <f t="array" aca="1" ref="DC23" ca="1">SUM(INDIRECT(ADDRESS(income_min_row, COLUMN()) &amp; ":" &amp; ADDRESS(Income_max_row,COLUMN())))</f>
        <v>0</v>
      </c>
      <c r="DD23" s="16" cm="1">
        <f t="array" aca="1" ref="DD23" ca="1">SUM(INDIRECT(ADDRESS(income_min_row, COLUMN()) &amp; ":" &amp; ADDRESS(Income_max_row,COLUMN())))</f>
        <v>0</v>
      </c>
      <c r="DE23" s="16" cm="1">
        <f t="array" aca="1" ref="DE23" ca="1">SUM(INDIRECT(ADDRESS(income_min_row, COLUMN()) &amp; ":" &amp; ADDRESS(Income_max_row,COLUMN())))</f>
        <v>0</v>
      </c>
      <c r="DF23" s="16" cm="1">
        <f t="array" aca="1" ref="DF23" ca="1">SUM(INDIRECT(ADDRESS(income_min_row, COLUMN()) &amp; ":" &amp; ADDRESS(Income_max_row,COLUMN())))</f>
        <v>0</v>
      </c>
      <c r="DG23" s="16" cm="1">
        <f t="array" aca="1" ref="DG23" ca="1">SUM(INDIRECT(ADDRESS(income_min_row, COLUMN()) &amp; ":" &amp; ADDRESS(Income_max_row,COLUMN())))</f>
        <v>0</v>
      </c>
      <c r="DH23" s="16" cm="1">
        <f t="array" aca="1" ref="DH23" ca="1">SUM(INDIRECT(ADDRESS(income_min_row, COLUMN()) &amp; ":" &amp; ADDRESS(Income_max_row,COLUMN())))</f>
        <v>0</v>
      </c>
      <c r="DI23" s="16" cm="1">
        <f t="array" aca="1" ref="DI23" ca="1">SUM(INDIRECT(ADDRESS(income_min_row, COLUMN()) &amp; ":" &amp; ADDRESS(Income_max_row,COLUMN())))</f>
        <v>0</v>
      </c>
      <c r="DJ23" s="16" cm="1">
        <f t="array" aca="1" ref="DJ23" ca="1">SUM(INDIRECT(ADDRESS(income_min_row, COLUMN()) &amp; ":" &amp; ADDRESS(Income_max_row,COLUMN())))</f>
        <v>0</v>
      </c>
      <c r="DK23" s="16" cm="1">
        <f t="array" aca="1" ref="DK23" ca="1">SUM(INDIRECT(ADDRESS(income_min_row, COLUMN()) &amp; ":" &amp; ADDRESS(Income_max_row,COLUMN())))</f>
        <v>1007</v>
      </c>
      <c r="DM23" s="16" cm="1">
        <f t="array" aca="1" ref="DM23" ca="1">SUM(INDIRECT(ADDRESS(income_min_row, COLUMN()) &amp; ":" &amp; ADDRESS(Income_max_row,COLUMN())))</f>
        <v>1008</v>
      </c>
      <c r="DN23" s="16" cm="1">
        <f t="array" aca="1" ref="DN23" ca="1">SUM(INDIRECT(ADDRESS(income_min_row, COLUMN()) &amp; ":" &amp; ADDRESS(Income_max_row,COLUMN())))</f>
        <v>0</v>
      </c>
      <c r="DO23" s="16" cm="1">
        <f t="array" aca="1" ref="DO23" ca="1">SUM(INDIRECT(ADDRESS(income_min_row, COLUMN()) &amp; ":" &amp; ADDRESS(Income_max_row,COLUMN())))</f>
        <v>0</v>
      </c>
      <c r="DP23" s="16" cm="1">
        <f t="array" aca="1" ref="DP23" ca="1">SUM(INDIRECT(ADDRESS(income_min_row, COLUMN()) &amp; ":" &amp; ADDRESS(Income_max_row,COLUMN())))</f>
        <v>0</v>
      </c>
      <c r="DQ23" s="16" cm="1">
        <f t="array" aca="1" ref="DQ23" ca="1">SUM(INDIRECT(ADDRESS(income_min_row, COLUMN()) &amp; ":" &amp; ADDRESS(Income_max_row,COLUMN())))</f>
        <v>0</v>
      </c>
      <c r="DR23" s="16" cm="1">
        <f t="array" aca="1" ref="DR23" ca="1">SUM(INDIRECT(ADDRESS(income_min_row, COLUMN()) &amp; ":" &amp; ADDRESS(Income_max_row,COLUMN())))</f>
        <v>0</v>
      </c>
      <c r="DS23" s="16" cm="1">
        <f t="array" aca="1" ref="DS23" ca="1">SUM(INDIRECT(ADDRESS(income_min_row, COLUMN()) &amp; ":" &amp; ADDRESS(Income_max_row,COLUMN())))</f>
        <v>0</v>
      </c>
      <c r="DT23" s="16" cm="1">
        <f t="array" aca="1" ref="DT23" ca="1">SUM(INDIRECT(ADDRESS(income_min_row, COLUMN()) &amp; ":" &amp; ADDRESS(Income_max_row,COLUMN())))</f>
        <v>0</v>
      </c>
      <c r="DU23" s="16" cm="1">
        <f t="array" aca="1" ref="DU23" ca="1">SUM(INDIRECT(ADDRESS(income_min_row, COLUMN()) &amp; ":" &amp; ADDRESS(Income_max_row,COLUMN())))</f>
        <v>0</v>
      </c>
      <c r="DV23" s="16" cm="1">
        <f t="array" aca="1" ref="DV23" ca="1">SUM(INDIRECT(ADDRESS(income_min_row, COLUMN()) &amp; ":" &amp; ADDRESS(Income_max_row,COLUMN())))</f>
        <v>0</v>
      </c>
      <c r="DW23" s="16" cm="1">
        <f t="array" aca="1" ref="DW23" ca="1">SUM(INDIRECT(ADDRESS(income_min_row, COLUMN()) &amp; ":" &amp; ADDRESS(Income_max_row,COLUMN())))</f>
        <v>0</v>
      </c>
      <c r="DX23" s="16" cm="1">
        <f t="array" aca="1" ref="DX23" ca="1">SUM(INDIRECT(ADDRESS(income_min_row, COLUMN()) &amp; ":" &amp; ADDRESS(Income_max_row,COLUMN())))</f>
        <v>0</v>
      </c>
      <c r="DY23" s="16" cm="1">
        <f t="array" aca="1" ref="DY23" ca="1">SUM(INDIRECT(ADDRESS(income_min_row, COLUMN()) &amp; ":" &amp; ADDRESS(Income_max_row,COLUMN())))</f>
        <v>1008</v>
      </c>
    </row>
    <row r="24" spans="3:129" x14ac:dyDescent="0.3">
      <c r="C24" s="31"/>
      <c r="D24" s="31"/>
      <c r="E24" s="31"/>
      <c r="F24" s="31"/>
      <c r="G24" s="31"/>
      <c r="H24" s="31"/>
      <c r="I24" s="31"/>
      <c r="J24" s="31"/>
      <c r="K24" s="31"/>
      <c r="L24" s="31"/>
      <c r="M24" s="31"/>
      <c r="N24" s="31"/>
      <c r="O24" s="31"/>
      <c r="P24" s="31"/>
      <c r="Q24" s="31"/>
    </row>
    <row r="25" spans="3:129" x14ac:dyDescent="0.3">
      <c r="C25" s="46"/>
      <c r="D25" s="31"/>
      <c r="E25" s="31"/>
      <c r="F25" s="31"/>
      <c r="G25" s="31"/>
      <c r="H25" s="31"/>
      <c r="I25" s="31"/>
      <c r="J25" s="31"/>
      <c r="K25" s="31"/>
      <c r="L25" s="31"/>
      <c r="M25" s="31"/>
      <c r="N25" s="31"/>
      <c r="O25" s="31"/>
      <c r="P25" s="31"/>
      <c r="Q25" s="31"/>
    </row>
    <row r="26" spans="3:129" x14ac:dyDescent="0.3">
      <c r="C26" s="42"/>
      <c r="D26" s="31"/>
      <c r="E26" s="31"/>
      <c r="F26" s="31"/>
      <c r="G26" s="31"/>
      <c r="H26" s="31"/>
      <c r="I26" s="31"/>
      <c r="J26" s="31"/>
      <c r="K26" s="31"/>
      <c r="L26" s="31"/>
      <c r="M26" s="31"/>
      <c r="N26" s="31"/>
      <c r="O26" s="31"/>
      <c r="P26" s="31"/>
      <c r="Q26" s="31"/>
    </row>
    <row r="27" spans="3:129" ht="18" x14ac:dyDescent="0.35">
      <c r="C27" s="36" t="s">
        <v>9</v>
      </c>
      <c r="D27" s="31"/>
      <c r="E27" s="47">
        <f>DATE(E$5,1,1)</f>
        <v>45292</v>
      </c>
      <c r="F27" s="47">
        <f>DATE(E$5,2,1)</f>
        <v>45323</v>
      </c>
      <c r="G27" s="47">
        <f>DATE(E$5,3,1)</f>
        <v>45352</v>
      </c>
      <c r="H27" s="47">
        <f>DATE(E$5,4,1)</f>
        <v>45383</v>
      </c>
      <c r="I27" s="47">
        <f>DATE(E$5,5,1)</f>
        <v>45413</v>
      </c>
      <c r="J27" s="47">
        <f>DATE(E$5,6,1)</f>
        <v>45444</v>
      </c>
      <c r="K27" s="47">
        <f>DATE(E$5,7,1)</f>
        <v>45474</v>
      </c>
      <c r="L27" s="47">
        <f>DATE(E$5,8,1)</f>
        <v>45505</v>
      </c>
      <c r="M27" s="47">
        <f>DATE(E$5,9,1)</f>
        <v>45536</v>
      </c>
      <c r="N27" s="47">
        <f>DATE(E$5,10,1)</f>
        <v>45566</v>
      </c>
      <c r="O27" s="47">
        <f>DATE(E$5,11,1)</f>
        <v>45597</v>
      </c>
      <c r="P27" s="47">
        <f>DATE(E$5,12,1)</f>
        <v>45627</v>
      </c>
      <c r="Q27" s="48">
        <f>E$5</f>
        <v>2024</v>
      </c>
      <c r="S27" s="17">
        <f>DATE(S$5,1,1)</f>
        <v>45658</v>
      </c>
      <c r="T27" s="17">
        <f>DATE(S$5,2,1)</f>
        <v>45689</v>
      </c>
      <c r="U27" s="17">
        <f>DATE(S$5,3,1)</f>
        <v>45717</v>
      </c>
      <c r="V27" s="17">
        <f>DATE(S$5,4,1)</f>
        <v>45748</v>
      </c>
      <c r="W27" s="17">
        <f>DATE(S$5,5,1)</f>
        <v>45778</v>
      </c>
      <c r="X27" s="17">
        <f>DATE(S$5,6,1)</f>
        <v>45809</v>
      </c>
      <c r="Y27" s="17">
        <f>DATE(S$5,7,1)</f>
        <v>45839</v>
      </c>
      <c r="Z27" s="17">
        <f>DATE(S$5,8,1)</f>
        <v>45870</v>
      </c>
      <c r="AA27" s="17">
        <f>DATE(S$5,9,1)</f>
        <v>45901</v>
      </c>
      <c r="AB27" s="17">
        <f>DATE(S$5,10,1)</f>
        <v>45931</v>
      </c>
      <c r="AC27" s="17">
        <f>DATE(S$5,11,1)</f>
        <v>45962</v>
      </c>
      <c r="AD27" s="17">
        <f>DATE(S$5,12,1)</f>
        <v>45992</v>
      </c>
      <c r="AE27" s="18">
        <f>S$5</f>
        <v>2025</v>
      </c>
      <c r="AG27" s="17">
        <f t="shared" ref="AG27" si="206">DATE(AG$5,1,1)</f>
        <v>46023</v>
      </c>
      <c r="AH27" s="17">
        <f t="shared" ref="AH27" si="207">DATE(AG$5,2,1)</f>
        <v>46054</v>
      </c>
      <c r="AI27" s="17">
        <f t="shared" ref="AI27" si="208">DATE(AG$5,3,1)</f>
        <v>46082</v>
      </c>
      <c r="AJ27" s="17">
        <f t="shared" ref="AJ27" si="209">DATE(AG$5,4,1)</f>
        <v>46113</v>
      </c>
      <c r="AK27" s="17">
        <f t="shared" ref="AK27" si="210">DATE(AG$5,5,1)</f>
        <v>46143</v>
      </c>
      <c r="AL27" s="17">
        <f t="shared" ref="AL27" si="211">DATE(AG$5,6,1)</f>
        <v>46174</v>
      </c>
      <c r="AM27" s="17">
        <f t="shared" ref="AM27" si="212">DATE(AG$5,7,1)</f>
        <v>46204</v>
      </c>
      <c r="AN27" s="17">
        <f t="shared" ref="AN27" si="213">DATE(AG$5,8,1)</f>
        <v>46235</v>
      </c>
      <c r="AO27" s="17">
        <f t="shared" ref="AO27" si="214">DATE(AG$5,9,1)</f>
        <v>46266</v>
      </c>
      <c r="AP27" s="17">
        <f t="shared" ref="AP27" si="215">DATE(AG$5,10,1)</f>
        <v>46296</v>
      </c>
      <c r="AQ27" s="17">
        <f t="shared" ref="AQ27" si="216">DATE(AG$5,11,1)</f>
        <v>46327</v>
      </c>
      <c r="AR27" s="17">
        <f t="shared" ref="AR27" si="217">DATE(AG$5,12,1)</f>
        <v>46357</v>
      </c>
      <c r="AS27" s="18">
        <f t="shared" ref="AS27" si="218">AG$5</f>
        <v>2026</v>
      </c>
      <c r="AU27" s="17">
        <f t="shared" ref="AU27" si="219">DATE(AU$5,1,1)</f>
        <v>46388</v>
      </c>
      <c r="AV27" s="17">
        <f t="shared" ref="AV27" si="220">DATE(AU$5,2,1)</f>
        <v>46419</v>
      </c>
      <c r="AW27" s="17">
        <f t="shared" ref="AW27" si="221">DATE(AU$5,3,1)</f>
        <v>46447</v>
      </c>
      <c r="AX27" s="17">
        <f t="shared" ref="AX27" si="222">DATE(AU$5,4,1)</f>
        <v>46478</v>
      </c>
      <c r="AY27" s="17">
        <f t="shared" ref="AY27" si="223">DATE(AU$5,5,1)</f>
        <v>46508</v>
      </c>
      <c r="AZ27" s="17">
        <f t="shared" ref="AZ27" si="224">DATE(AU$5,6,1)</f>
        <v>46539</v>
      </c>
      <c r="BA27" s="17">
        <f t="shared" ref="BA27" si="225">DATE(AU$5,7,1)</f>
        <v>46569</v>
      </c>
      <c r="BB27" s="17">
        <f t="shared" ref="BB27" si="226">DATE(AU$5,8,1)</f>
        <v>46600</v>
      </c>
      <c r="BC27" s="17">
        <f t="shared" ref="BC27" si="227">DATE(AU$5,9,1)</f>
        <v>46631</v>
      </c>
      <c r="BD27" s="17">
        <f t="shared" ref="BD27" si="228">DATE(AU$5,10,1)</f>
        <v>46661</v>
      </c>
      <c r="BE27" s="17">
        <f t="shared" ref="BE27" si="229">DATE(AU$5,11,1)</f>
        <v>46692</v>
      </c>
      <c r="BF27" s="17">
        <f t="shared" ref="BF27" si="230">DATE(AU$5,12,1)</f>
        <v>46722</v>
      </c>
      <c r="BG27" s="18">
        <f t="shared" ref="BG27" si="231">AU$5</f>
        <v>2027</v>
      </c>
      <c r="BI27" s="17">
        <f t="shared" ref="BI27" si="232">DATE(BI$5,1,1)</f>
        <v>46753</v>
      </c>
      <c r="BJ27" s="17">
        <f t="shared" ref="BJ27" si="233">DATE(BI$5,2,1)</f>
        <v>46784</v>
      </c>
      <c r="BK27" s="17">
        <f t="shared" ref="BK27" si="234">DATE(BI$5,3,1)</f>
        <v>46813</v>
      </c>
      <c r="BL27" s="17">
        <f t="shared" ref="BL27" si="235">DATE(BI$5,4,1)</f>
        <v>46844</v>
      </c>
      <c r="BM27" s="17">
        <f t="shared" ref="BM27" si="236">DATE(BI$5,5,1)</f>
        <v>46874</v>
      </c>
      <c r="BN27" s="17">
        <f t="shared" ref="BN27" si="237">DATE(BI$5,6,1)</f>
        <v>46905</v>
      </c>
      <c r="BO27" s="17">
        <f t="shared" ref="BO27" si="238">DATE(BI$5,7,1)</f>
        <v>46935</v>
      </c>
      <c r="BP27" s="17">
        <f t="shared" ref="BP27" si="239">DATE(BI$5,8,1)</f>
        <v>46966</v>
      </c>
      <c r="BQ27" s="17">
        <f t="shared" ref="BQ27" si="240">DATE(BI$5,9,1)</f>
        <v>46997</v>
      </c>
      <c r="BR27" s="17">
        <f t="shared" ref="BR27" si="241">DATE(BI$5,10,1)</f>
        <v>47027</v>
      </c>
      <c r="BS27" s="17">
        <f t="shared" ref="BS27" si="242">DATE(BI$5,11,1)</f>
        <v>47058</v>
      </c>
      <c r="BT27" s="17">
        <f t="shared" ref="BT27" si="243">DATE(BI$5,12,1)</f>
        <v>47088</v>
      </c>
      <c r="BU27" s="18">
        <f t="shared" ref="BU27" si="244">BI$5</f>
        <v>2028</v>
      </c>
      <c r="BW27" s="17">
        <f t="shared" ref="BW27" si="245">DATE(BW$5,1,1)</f>
        <v>47119</v>
      </c>
      <c r="BX27" s="17">
        <f t="shared" ref="BX27" si="246">DATE(BW$5,2,1)</f>
        <v>47150</v>
      </c>
      <c r="BY27" s="17">
        <f t="shared" ref="BY27" si="247">DATE(BW$5,3,1)</f>
        <v>47178</v>
      </c>
      <c r="BZ27" s="17">
        <f t="shared" ref="BZ27" si="248">DATE(BW$5,4,1)</f>
        <v>47209</v>
      </c>
      <c r="CA27" s="17">
        <f t="shared" ref="CA27" si="249">DATE(BW$5,5,1)</f>
        <v>47239</v>
      </c>
      <c r="CB27" s="17">
        <f t="shared" ref="CB27" si="250">DATE(BW$5,6,1)</f>
        <v>47270</v>
      </c>
      <c r="CC27" s="17">
        <f t="shared" ref="CC27" si="251">DATE(BW$5,7,1)</f>
        <v>47300</v>
      </c>
      <c r="CD27" s="17">
        <f t="shared" ref="CD27" si="252">DATE(BW$5,8,1)</f>
        <v>47331</v>
      </c>
      <c r="CE27" s="17">
        <f t="shared" ref="CE27" si="253">DATE(BW$5,9,1)</f>
        <v>47362</v>
      </c>
      <c r="CF27" s="17">
        <f t="shared" ref="CF27" si="254">DATE(BW$5,10,1)</f>
        <v>47392</v>
      </c>
      <c r="CG27" s="17">
        <f t="shared" ref="CG27" si="255">DATE(BW$5,11,1)</f>
        <v>47423</v>
      </c>
      <c r="CH27" s="17">
        <f t="shared" ref="CH27" si="256">DATE(BW$5,12,1)</f>
        <v>47453</v>
      </c>
      <c r="CI27" s="18">
        <f t="shared" ref="CI27" si="257">BW$5</f>
        <v>2029</v>
      </c>
      <c r="CK27" s="17">
        <f t="shared" ref="CK27" si="258">DATE(CK$5,1,1)</f>
        <v>47484</v>
      </c>
      <c r="CL27" s="17">
        <f t="shared" ref="CL27" si="259">DATE(CK$5,2,1)</f>
        <v>47515</v>
      </c>
      <c r="CM27" s="17">
        <f t="shared" ref="CM27" si="260">DATE(CK$5,3,1)</f>
        <v>47543</v>
      </c>
      <c r="CN27" s="17">
        <f t="shared" ref="CN27" si="261">DATE(CK$5,4,1)</f>
        <v>47574</v>
      </c>
      <c r="CO27" s="17">
        <f t="shared" ref="CO27" si="262">DATE(CK$5,5,1)</f>
        <v>47604</v>
      </c>
      <c r="CP27" s="17">
        <f t="shared" ref="CP27" si="263">DATE(CK$5,6,1)</f>
        <v>47635</v>
      </c>
      <c r="CQ27" s="17">
        <f t="shared" ref="CQ27" si="264">DATE(CK$5,7,1)</f>
        <v>47665</v>
      </c>
      <c r="CR27" s="17">
        <f t="shared" ref="CR27" si="265">DATE(CK$5,8,1)</f>
        <v>47696</v>
      </c>
      <c r="CS27" s="17">
        <f t="shared" ref="CS27" si="266">DATE(CK$5,9,1)</f>
        <v>47727</v>
      </c>
      <c r="CT27" s="17">
        <f t="shared" ref="CT27" si="267">DATE(CK$5,10,1)</f>
        <v>47757</v>
      </c>
      <c r="CU27" s="17">
        <f t="shared" ref="CU27" si="268">DATE(CK$5,11,1)</f>
        <v>47788</v>
      </c>
      <c r="CV27" s="17">
        <f t="shared" ref="CV27" si="269">DATE(CK$5,12,1)</f>
        <v>47818</v>
      </c>
      <c r="CW27" s="18">
        <f t="shared" ref="CW27" si="270">CK$5</f>
        <v>2030</v>
      </c>
      <c r="CY27" s="17">
        <f t="shared" ref="CY27" si="271">DATE(CY$5,1,1)</f>
        <v>47849</v>
      </c>
      <c r="CZ27" s="17">
        <f t="shared" ref="CZ27" si="272">DATE(CY$5,2,1)</f>
        <v>47880</v>
      </c>
      <c r="DA27" s="17">
        <f t="shared" ref="DA27" si="273">DATE(CY$5,3,1)</f>
        <v>47908</v>
      </c>
      <c r="DB27" s="17">
        <f t="shared" ref="DB27" si="274">DATE(CY$5,4,1)</f>
        <v>47939</v>
      </c>
      <c r="DC27" s="17">
        <f t="shared" ref="DC27" si="275">DATE(CY$5,5,1)</f>
        <v>47969</v>
      </c>
      <c r="DD27" s="17">
        <f t="shared" ref="DD27" si="276">DATE(CY$5,6,1)</f>
        <v>48000</v>
      </c>
      <c r="DE27" s="17">
        <f t="shared" ref="DE27" si="277">DATE(CY$5,7,1)</f>
        <v>48030</v>
      </c>
      <c r="DF27" s="17">
        <f t="shared" ref="DF27" si="278">DATE(CY$5,8,1)</f>
        <v>48061</v>
      </c>
      <c r="DG27" s="17">
        <f t="shared" ref="DG27" si="279">DATE(CY$5,9,1)</f>
        <v>48092</v>
      </c>
      <c r="DH27" s="17">
        <f t="shared" ref="DH27" si="280">DATE(CY$5,10,1)</f>
        <v>48122</v>
      </c>
      <c r="DI27" s="17">
        <f t="shared" ref="DI27" si="281">DATE(CY$5,11,1)</f>
        <v>48153</v>
      </c>
      <c r="DJ27" s="17">
        <f t="shared" ref="DJ27" si="282">DATE(CY$5,12,1)</f>
        <v>48183</v>
      </c>
      <c r="DK27" s="18">
        <f t="shared" ref="DK27" si="283">CY$5</f>
        <v>2031</v>
      </c>
      <c r="DM27" s="17">
        <f t="shared" ref="DM27" si="284">DATE(DM$5,1,1)</f>
        <v>48214</v>
      </c>
      <c r="DN27" s="17">
        <f t="shared" ref="DN27" si="285">DATE(DM$5,2,1)</f>
        <v>48245</v>
      </c>
      <c r="DO27" s="17">
        <f t="shared" ref="DO27" si="286">DATE(DM$5,3,1)</f>
        <v>48274</v>
      </c>
      <c r="DP27" s="17">
        <f t="shared" ref="DP27" si="287">DATE(DM$5,4,1)</f>
        <v>48305</v>
      </c>
      <c r="DQ27" s="17">
        <f t="shared" ref="DQ27" si="288">DATE(DM$5,5,1)</f>
        <v>48335</v>
      </c>
      <c r="DR27" s="17">
        <f t="shared" ref="DR27" si="289">DATE(DM$5,6,1)</f>
        <v>48366</v>
      </c>
      <c r="DS27" s="17">
        <f t="shared" ref="DS27" si="290">DATE(DM$5,7,1)</f>
        <v>48396</v>
      </c>
      <c r="DT27" s="17">
        <f t="shared" ref="DT27" si="291">DATE(DM$5,8,1)</f>
        <v>48427</v>
      </c>
      <c r="DU27" s="17">
        <f t="shared" ref="DU27" si="292">DATE(DM$5,9,1)</f>
        <v>48458</v>
      </c>
      <c r="DV27" s="17">
        <f t="shared" ref="DV27" si="293">DATE(DM$5,10,1)</f>
        <v>48488</v>
      </c>
      <c r="DW27" s="17">
        <f t="shared" ref="DW27" si="294">DATE(DM$5,11,1)</f>
        <v>48519</v>
      </c>
      <c r="DX27" s="17">
        <f t="shared" ref="DX27" si="295">DATE(DM$5,12,1)</f>
        <v>48549</v>
      </c>
      <c r="DY27" s="18">
        <f t="shared" ref="DY27" si="296">DM$5</f>
        <v>2032</v>
      </c>
    </row>
    <row r="28" spans="3:129" x14ac:dyDescent="0.3">
      <c r="C28" s="135" t="s">
        <v>11</v>
      </c>
      <c r="D28" s="31"/>
      <c r="E28" s="40">
        <v>750</v>
      </c>
      <c r="F28" s="40">
        <v>500</v>
      </c>
      <c r="G28" s="40">
        <v>750</v>
      </c>
      <c r="H28" s="40">
        <v>750</v>
      </c>
      <c r="I28" s="40">
        <v>750</v>
      </c>
      <c r="J28" s="40">
        <v>750</v>
      </c>
      <c r="K28" s="40">
        <v>750</v>
      </c>
      <c r="L28" s="40">
        <v>750</v>
      </c>
      <c r="M28" s="40">
        <v>750</v>
      </c>
      <c r="N28" s="40">
        <v>750</v>
      </c>
      <c r="O28" s="40">
        <v>750</v>
      </c>
      <c r="P28" s="40">
        <v>750</v>
      </c>
      <c r="Q28" s="40">
        <f>SUM(E28:P28)</f>
        <v>8750</v>
      </c>
      <c r="S28" s="15"/>
      <c r="T28" s="15"/>
      <c r="U28" s="15"/>
      <c r="V28" s="15"/>
      <c r="W28" s="15"/>
      <c r="X28" s="15"/>
      <c r="Y28" s="15"/>
      <c r="Z28" s="15"/>
      <c r="AA28" s="15"/>
      <c r="AB28" s="15"/>
      <c r="AC28" s="15"/>
      <c r="AD28" s="15"/>
      <c r="AE28" s="15">
        <f>SUM(S28:AD28)</f>
        <v>0</v>
      </c>
      <c r="AG28" s="15"/>
      <c r="AH28" s="15"/>
      <c r="AI28" s="15"/>
      <c r="AJ28" s="15"/>
      <c r="AK28" s="15"/>
      <c r="AL28" s="15"/>
      <c r="AM28" s="15"/>
      <c r="AN28" s="15"/>
      <c r="AO28" s="15"/>
      <c r="AP28" s="15"/>
      <c r="AQ28" s="15"/>
      <c r="AR28" s="15"/>
      <c r="AS28" s="15">
        <f t="shared" ref="AS28" si="297">SUM(AG28:AR28)</f>
        <v>0</v>
      </c>
      <c r="AU28" s="15"/>
      <c r="AV28" s="15"/>
      <c r="AW28" s="15"/>
      <c r="AX28" s="15"/>
      <c r="AY28" s="15"/>
      <c r="AZ28" s="15"/>
      <c r="BA28" s="15"/>
      <c r="BB28" s="15"/>
      <c r="BC28" s="15"/>
      <c r="BD28" s="15"/>
      <c r="BE28" s="15"/>
      <c r="BF28" s="15"/>
      <c r="BG28" s="15">
        <f t="shared" ref="BG28" si="298">SUM(AU28:BF28)</f>
        <v>0</v>
      </c>
      <c r="BI28" s="15"/>
      <c r="BJ28" s="15"/>
      <c r="BK28" s="15"/>
      <c r="BL28" s="15"/>
      <c r="BM28" s="15"/>
      <c r="BN28" s="15"/>
      <c r="BO28" s="15"/>
      <c r="BP28" s="15"/>
      <c r="BQ28" s="15"/>
      <c r="BR28" s="15"/>
      <c r="BS28" s="15"/>
      <c r="BT28" s="15"/>
      <c r="BU28" s="15">
        <f t="shared" ref="BU28" si="299">SUM(BI28:BT28)</f>
        <v>0</v>
      </c>
      <c r="BW28" s="15"/>
      <c r="BX28" s="15"/>
      <c r="BY28" s="15"/>
      <c r="BZ28" s="15"/>
      <c r="CA28" s="15"/>
      <c r="CB28" s="15"/>
      <c r="CC28" s="15"/>
      <c r="CD28" s="15"/>
      <c r="CE28" s="15"/>
      <c r="CF28" s="15"/>
      <c r="CG28" s="15"/>
      <c r="CH28" s="15"/>
      <c r="CI28" s="15">
        <f t="shared" ref="CI28" si="300">SUM(BW28:CH28)</f>
        <v>0</v>
      </c>
      <c r="CK28" s="15"/>
      <c r="CL28" s="15"/>
      <c r="CM28" s="15"/>
      <c r="CN28" s="15"/>
      <c r="CO28" s="15"/>
      <c r="CP28" s="15"/>
      <c r="CQ28" s="15"/>
      <c r="CR28" s="15"/>
      <c r="CS28" s="15"/>
      <c r="CT28" s="15"/>
      <c r="CU28" s="15"/>
      <c r="CV28" s="15"/>
      <c r="CW28" s="15">
        <f t="shared" ref="CW28" si="301">SUM(CK28:CV28)</f>
        <v>0</v>
      </c>
      <c r="CY28" s="15"/>
      <c r="CZ28" s="15"/>
      <c r="DA28" s="15"/>
      <c r="DB28" s="15"/>
      <c r="DC28" s="15"/>
      <c r="DD28" s="15"/>
      <c r="DE28" s="15"/>
      <c r="DF28" s="15"/>
      <c r="DG28" s="15"/>
      <c r="DH28" s="15"/>
      <c r="DI28" s="15"/>
      <c r="DJ28" s="15"/>
      <c r="DK28" s="15">
        <f t="shared" ref="DK28" si="302">SUM(CY28:DJ28)</f>
        <v>0</v>
      </c>
      <c r="DM28" s="15"/>
      <c r="DN28" s="15"/>
      <c r="DO28" s="15"/>
      <c r="DP28" s="15"/>
      <c r="DQ28" s="15"/>
      <c r="DR28" s="15"/>
      <c r="DS28" s="15"/>
      <c r="DT28" s="15"/>
      <c r="DU28" s="15"/>
      <c r="DV28" s="15"/>
      <c r="DW28" s="15"/>
      <c r="DX28" s="15"/>
      <c r="DY28" s="15">
        <f t="shared" ref="DY28" si="303">SUM(DM28:DX28)</f>
        <v>0</v>
      </c>
    </row>
    <row r="29" spans="3:129" x14ac:dyDescent="0.3">
      <c r="C29" s="135" t="s">
        <v>10</v>
      </c>
      <c r="D29" s="31"/>
      <c r="E29" s="40">
        <v>150</v>
      </c>
      <c r="F29" s="40">
        <v>150</v>
      </c>
      <c r="G29" s="40">
        <v>200</v>
      </c>
      <c r="H29" s="40">
        <v>200</v>
      </c>
      <c r="I29" s="40">
        <v>200</v>
      </c>
      <c r="J29" s="40">
        <v>200</v>
      </c>
      <c r="K29" s="40">
        <v>200</v>
      </c>
      <c r="L29" s="40">
        <v>200</v>
      </c>
      <c r="M29" s="40">
        <v>200</v>
      </c>
      <c r="N29" s="40">
        <v>200</v>
      </c>
      <c r="O29" s="40">
        <v>200</v>
      </c>
      <c r="P29" s="40">
        <v>200</v>
      </c>
      <c r="Q29" s="40">
        <f t="shared" ref="Q29:Q38" si="304">SUM(E29:P29)</f>
        <v>2300</v>
      </c>
      <c r="S29" s="15"/>
      <c r="T29" s="15"/>
      <c r="U29" s="15"/>
      <c r="V29" s="15"/>
      <c r="W29" s="15"/>
      <c r="X29" s="15"/>
      <c r="Y29" s="15"/>
      <c r="Z29" s="15"/>
      <c r="AA29" s="15"/>
      <c r="AB29" s="15"/>
      <c r="AC29" s="15"/>
      <c r="AD29" s="15"/>
      <c r="AE29" s="15">
        <f t="shared" ref="AE29" si="305">SUM(S29:AD29)</f>
        <v>0</v>
      </c>
      <c r="AG29" s="15"/>
      <c r="AH29" s="15"/>
      <c r="AI29" s="15"/>
      <c r="AJ29" s="15"/>
      <c r="AK29" s="15"/>
      <c r="AL29" s="15"/>
      <c r="AM29" s="15"/>
      <c r="AN29" s="15"/>
      <c r="AO29" s="15"/>
      <c r="AP29" s="15"/>
      <c r="AQ29" s="15"/>
      <c r="AR29" s="15"/>
      <c r="AS29" s="15">
        <f t="shared" ref="AS29:AS30" si="306">SUM(AG29:AR29)</f>
        <v>0</v>
      </c>
      <c r="AU29" s="15"/>
      <c r="AV29" s="15"/>
      <c r="AW29" s="15"/>
      <c r="AX29" s="15"/>
      <c r="AY29" s="15"/>
      <c r="AZ29" s="15"/>
      <c r="BA29" s="15"/>
      <c r="BB29" s="15"/>
      <c r="BC29" s="15"/>
      <c r="BD29" s="15"/>
      <c r="BE29" s="15"/>
      <c r="BF29" s="15"/>
      <c r="BG29" s="15">
        <f t="shared" ref="BG29:BG30" si="307">SUM(AU29:BF29)</f>
        <v>0</v>
      </c>
      <c r="BI29" s="15"/>
      <c r="BJ29" s="15"/>
      <c r="BK29" s="15"/>
      <c r="BL29" s="15"/>
      <c r="BM29" s="15"/>
      <c r="BN29" s="15"/>
      <c r="BO29" s="15"/>
      <c r="BP29" s="15"/>
      <c r="BQ29" s="15"/>
      <c r="BR29" s="15"/>
      <c r="BS29" s="15"/>
      <c r="BT29" s="15"/>
      <c r="BU29" s="15">
        <f t="shared" ref="BU29:BU30" si="308">SUM(BI29:BT29)</f>
        <v>0</v>
      </c>
      <c r="BW29" s="15"/>
      <c r="BX29" s="15"/>
      <c r="BY29" s="15"/>
      <c r="BZ29" s="15"/>
      <c r="CA29" s="15"/>
      <c r="CB29" s="15"/>
      <c r="CC29" s="15"/>
      <c r="CD29" s="15"/>
      <c r="CE29" s="15"/>
      <c r="CF29" s="15"/>
      <c r="CG29" s="15"/>
      <c r="CH29" s="15"/>
      <c r="CI29" s="15">
        <f t="shared" ref="CI29:CI30" si="309">SUM(BW29:CH29)</f>
        <v>0</v>
      </c>
      <c r="CK29" s="15"/>
      <c r="CL29" s="15"/>
      <c r="CM29" s="15"/>
      <c r="CN29" s="15"/>
      <c r="CO29" s="15"/>
      <c r="CP29" s="15"/>
      <c r="CQ29" s="15"/>
      <c r="CR29" s="15"/>
      <c r="CS29" s="15"/>
      <c r="CT29" s="15"/>
      <c r="CU29" s="15"/>
      <c r="CV29" s="15"/>
      <c r="CW29" s="15">
        <f t="shared" ref="CW29:CW30" si="310">SUM(CK29:CV29)</f>
        <v>0</v>
      </c>
      <c r="CY29" s="15"/>
      <c r="CZ29" s="15"/>
      <c r="DA29" s="15"/>
      <c r="DB29" s="15"/>
      <c r="DC29" s="15"/>
      <c r="DD29" s="15"/>
      <c r="DE29" s="15"/>
      <c r="DF29" s="15"/>
      <c r="DG29" s="15"/>
      <c r="DH29" s="15"/>
      <c r="DI29" s="15"/>
      <c r="DJ29" s="15"/>
      <c r="DK29" s="15">
        <f t="shared" ref="DK29:DK30" si="311">SUM(CY29:DJ29)</f>
        <v>0</v>
      </c>
      <c r="DM29" s="15"/>
      <c r="DN29" s="15"/>
      <c r="DO29" s="15"/>
      <c r="DP29" s="15"/>
      <c r="DQ29" s="15"/>
      <c r="DR29" s="15"/>
      <c r="DS29" s="15"/>
      <c r="DT29" s="15"/>
      <c r="DU29" s="15"/>
      <c r="DV29" s="15"/>
      <c r="DW29" s="15"/>
      <c r="DX29" s="15"/>
      <c r="DY29" s="15">
        <f t="shared" ref="DY29:DY30" si="312">SUM(DM29:DX29)</f>
        <v>0</v>
      </c>
    </row>
    <row r="30" spans="3:129" x14ac:dyDescent="0.3">
      <c r="C30" s="135" t="s">
        <v>12</v>
      </c>
      <c r="D30" s="31"/>
      <c r="E30" s="40">
        <v>300</v>
      </c>
      <c r="F30" s="40">
        <v>300</v>
      </c>
      <c r="G30" s="40">
        <v>350</v>
      </c>
      <c r="H30" s="40">
        <v>350</v>
      </c>
      <c r="I30" s="40">
        <v>350</v>
      </c>
      <c r="J30" s="40">
        <v>350</v>
      </c>
      <c r="K30" s="40">
        <v>350</v>
      </c>
      <c r="L30" s="40">
        <v>350</v>
      </c>
      <c r="M30" s="40">
        <v>350</v>
      </c>
      <c r="N30" s="40">
        <v>350</v>
      </c>
      <c r="O30" s="40">
        <v>350</v>
      </c>
      <c r="P30" s="40">
        <v>350</v>
      </c>
      <c r="Q30" s="40">
        <f t="shared" si="304"/>
        <v>4100</v>
      </c>
      <c r="S30" s="15"/>
      <c r="T30" s="15"/>
      <c r="U30" s="15"/>
      <c r="V30" s="15"/>
      <c r="W30" s="15"/>
      <c r="X30" s="15"/>
      <c r="Y30" s="15"/>
      <c r="Z30" s="15"/>
      <c r="AA30" s="15"/>
      <c r="AB30" s="15"/>
      <c r="AC30" s="15"/>
      <c r="AD30" s="15"/>
      <c r="AE30" s="15">
        <f>SUM(S30:AD30)</f>
        <v>0</v>
      </c>
      <c r="AG30" s="15"/>
      <c r="AH30" s="15"/>
      <c r="AI30" s="15"/>
      <c r="AJ30" s="15"/>
      <c r="AK30" s="15"/>
      <c r="AL30" s="15"/>
      <c r="AM30" s="15"/>
      <c r="AN30" s="15"/>
      <c r="AO30" s="15"/>
      <c r="AP30" s="15"/>
      <c r="AQ30" s="15"/>
      <c r="AR30" s="15"/>
      <c r="AS30" s="15">
        <f t="shared" si="306"/>
        <v>0</v>
      </c>
      <c r="AU30" s="15"/>
      <c r="AV30" s="15"/>
      <c r="AW30" s="15"/>
      <c r="AX30" s="15"/>
      <c r="AY30" s="15"/>
      <c r="AZ30" s="15"/>
      <c r="BA30" s="15"/>
      <c r="BB30" s="15"/>
      <c r="BC30" s="15"/>
      <c r="BD30" s="15"/>
      <c r="BE30" s="15"/>
      <c r="BF30" s="15"/>
      <c r="BG30" s="15">
        <f t="shared" si="307"/>
        <v>0</v>
      </c>
      <c r="BI30" s="15"/>
      <c r="BJ30" s="15"/>
      <c r="BK30" s="15"/>
      <c r="BL30" s="15"/>
      <c r="BM30" s="15"/>
      <c r="BN30" s="15"/>
      <c r="BO30" s="15"/>
      <c r="BP30" s="15"/>
      <c r="BQ30" s="15"/>
      <c r="BR30" s="15"/>
      <c r="BS30" s="15"/>
      <c r="BT30" s="15"/>
      <c r="BU30" s="15">
        <f t="shared" si="308"/>
        <v>0</v>
      </c>
      <c r="BW30" s="15"/>
      <c r="BX30" s="15"/>
      <c r="BY30" s="15"/>
      <c r="BZ30" s="15"/>
      <c r="CA30" s="15"/>
      <c r="CB30" s="15"/>
      <c r="CC30" s="15"/>
      <c r="CD30" s="15"/>
      <c r="CE30" s="15"/>
      <c r="CF30" s="15"/>
      <c r="CG30" s="15"/>
      <c r="CH30" s="15"/>
      <c r="CI30" s="15">
        <f t="shared" si="309"/>
        <v>0</v>
      </c>
      <c r="CK30" s="15"/>
      <c r="CL30" s="15"/>
      <c r="CM30" s="15"/>
      <c r="CN30" s="15"/>
      <c r="CO30" s="15"/>
      <c r="CP30" s="15"/>
      <c r="CQ30" s="15"/>
      <c r="CR30" s="15"/>
      <c r="CS30" s="15"/>
      <c r="CT30" s="15"/>
      <c r="CU30" s="15"/>
      <c r="CV30" s="15"/>
      <c r="CW30" s="15">
        <f t="shared" si="310"/>
        <v>0</v>
      </c>
      <c r="CY30" s="15"/>
      <c r="CZ30" s="15"/>
      <c r="DA30" s="15"/>
      <c r="DB30" s="15"/>
      <c r="DC30" s="15"/>
      <c r="DD30" s="15"/>
      <c r="DE30" s="15"/>
      <c r="DF30" s="15"/>
      <c r="DG30" s="15"/>
      <c r="DH30" s="15"/>
      <c r="DI30" s="15"/>
      <c r="DJ30" s="15"/>
      <c r="DK30" s="15">
        <f t="shared" si="311"/>
        <v>0</v>
      </c>
      <c r="DM30" s="15"/>
      <c r="DN30" s="15"/>
      <c r="DO30" s="15"/>
      <c r="DP30" s="15"/>
      <c r="DQ30" s="15"/>
      <c r="DR30" s="15"/>
      <c r="DS30" s="15"/>
      <c r="DT30" s="15"/>
      <c r="DU30" s="15"/>
      <c r="DV30" s="15"/>
      <c r="DW30" s="15"/>
      <c r="DX30" s="15"/>
      <c r="DY30" s="15">
        <f t="shared" si="312"/>
        <v>0</v>
      </c>
    </row>
    <row r="31" spans="3:129" x14ac:dyDescent="0.3">
      <c r="C31" s="135" t="s">
        <v>108</v>
      </c>
      <c r="D31" s="31"/>
      <c r="E31" s="40">
        <v>95</v>
      </c>
      <c r="F31" s="40">
        <v>95</v>
      </c>
      <c r="G31" s="40">
        <v>95</v>
      </c>
      <c r="H31" s="40">
        <v>95</v>
      </c>
      <c r="I31" s="40">
        <v>95</v>
      </c>
      <c r="J31" s="40">
        <v>95</v>
      </c>
      <c r="K31" s="40">
        <v>95</v>
      </c>
      <c r="L31" s="40">
        <v>95</v>
      </c>
      <c r="M31" s="40">
        <v>95</v>
      </c>
      <c r="N31" s="40">
        <v>95</v>
      </c>
      <c r="O31" s="40">
        <v>95</v>
      </c>
      <c r="P31" s="40">
        <v>95</v>
      </c>
      <c r="Q31" s="40">
        <f t="shared" si="304"/>
        <v>1140</v>
      </c>
      <c r="S31" s="14">
        <v>10</v>
      </c>
      <c r="T31" s="14">
        <v>10</v>
      </c>
      <c r="U31" s="14">
        <v>10</v>
      </c>
      <c r="V31" s="14">
        <v>10</v>
      </c>
      <c r="W31" s="14">
        <v>10</v>
      </c>
      <c r="X31" s="14">
        <v>10</v>
      </c>
      <c r="Y31" s="14">
        <v>10</v>
      </c>
      <c r="Z31" s="14">
        <v>10</v>
      </c>
      <c r="AA31" s="14">
        <v>10</v>
      </c>
      <c r="AB31" s="14">
        <v>10</v>
      </c>
      <c r="AC31" s="14">
        <v>10</v>
      </c>
      <c r="AD31" s="14">
        <v>10</v>
      </c>
      <c r="AE31" s="15"/>
      <c r="AG31" s="14">
        <v>10</v>
      </c>
      <c r="AH31" s="14">
        <v>10</v>
      </c>
      <c r="AI31" s="14">
        <v>10</v>
      </c>
      <c r="AJ31" s="14">
        <v>10</v>
      </c>
      <c r="AK31" s="14">
        <v>10</v>
      </c>
      <c r="AL31" s="14">
        <v>10</v>
      </c>
      <c r="AM31" s="14">
        <v>10</v>
      </c>
      <c r="AN31" s="14">
        <v>10</v>
      </c>
      <c r="AO31" s="14">
        <v>10</v>
      </c>
      <c r="AP31" s="14">
        <v>10</v>
      </c>
      <c r="AQ31" s="14">
        <v>10</v>
      </c>
      <c r="AR31" s="14">
        <v>10</v>
      </c>
      <c r="AS31" s="15"/>
      <c r="AU31" s="14">
        <v>10</v>
      </c>
      <c r="AV31" s="14">
        <v>10</v>
      </c>
      <c r="AW31" s="14">
        <v>10</v>
      </c>
      <c r="AX31" s="14">
        <v>10</v>
      </c>
      <c r="AY31" s="14">
        <v>10</v>
      </c>
      <c r="AZ31" s="14">
        <v>10</v>
      </c>
      <c r="BA31" s="14">
        <v>10</v>
      </c>
      <c r="BB31" s="14">
        <v>10</v>
      </c>
      <c r="BC31" s="14">
        <v>10</v>
      </c>
      <c r="BD31" s="14">
        <v>10</v>
      </c>
      <c r="BE31" s="14">
        <v>10</v>
      </c>
      <c r="BF31" s="14">
        <v>10</v>
      </c>
      <c r="BG31" s="15"/>
      <c r="BI31" s="14">
        <v>10</v>
      </c>
      <c r="BJ31" s="14">
        <v>10</v>
      </c>
      <c r="BK31" s="14">
        <v>10</v>
      </c>
      <c r="BL31" s="14">
        <v>10</v>
      </c>
      <c r="BM31" s="14">
        <v>10</v>
      </c>
      <c r="BN31" s="14">
        <v>10</v>
      </c>
      <c r="BO31" s="14">
        <v>10</v>
      </c>
      <c r="BP31" s="14">
        <v>10</v>
      </c>
      <c r="BQ31" s="14">
        <v>10</v>
      </c>
      <c r="BR31" s="14">
        <v>10</v>
      </c>
      <c r="BS31" s="14">
        <v>10</v>
      </c>
      <c r="BT31" s="14">
        <v>10</v>
      </c>
      <c r="BU31" s="15"/>
      <c r="BW31" s="14">
        <v>10</v>
      </c>
      <c r="BX31" s="14">
        <v>10</v>
      </c>
      <c r="BY31" s="14">
        <v>10</v>
      </c>
      <c r="BZ31" s="14">
        <v>10</v>
      </c>
      <c r="CA31" s="14">
        <v>10</v>
      </c>
      <c r="CB31" s="14">
        <v>10</v>
      </c>
      <c r="CC31" s="14">
        <v>10</v>
      </c>
      <c r="CD31" s="14">
        <v>10</v>
      </c>
      <c r="CE31" s="14">
        <v>10</v>
      </c>
      <c r="CF31" s="14">
        <v>10</v>
      </c>
      <c r="CG31" s="14">
        <v>10</v>
      </c>
      <c r="CH31" s="14">
        <v>10</v>
      </c>
      <c r="CI31" s="15"/>
      <c r="CK31" s="14">
        <v>10</v>
      </c>
      <c r="CL31" s="14">
        <v>10</v>
      </c>
      <c r="CM31" s="14">
        <v>10</v>
      </c>
      <c r="CN31" s="14">
        <v>10</v>
      </c>
      <c r="CO31" s="14">
        <v>10</v>
      </c>
      <c r="CP31" s="14">
        <v>10</v>
      </c>
      <c r="CQ31" s="14">
        <v>10</v>
      </c>
      <c r="CR31" s="14">
        <v>10</v>
      </c>
      <c r="CS31" s="14">
        <v>10</v>
      </c>
      <c r="CT31" s="14">
        <v>10</v>
      </c>
      <c r="CU31" s="14">
        <v>10</v>
      </c>
      <c r="CV31" s="14">
        <v>10</v>
      </c>
      <c r="CW31" s="15"/>
      <c r="CY31" s="14">
        <v>10</v>
      </c>
      <c r="CZ31" s="14">
        <v>10</v>
      </c>
      <c r="DA31" s="14">
        <v>10</v>
      </c>
      <c r="DB31" s="14">
        <v>10</v>
      </c>
      <c r="DC31" s="14">
        <v>10</v>
      </c>
      <c r="DD31" s="14">
        <v>10</v>
      </c>
      <c r="DE31" s="14">
        <v>10</v>
      </c>
      <c r="DF31" s="14">
        <v>10</v>
      </c>
      <c r="DG31" s="14">
        <v>10</v>
      </c>
      <c r="DH31" s="14">
        <v>10</v>
      </c>
      <c r="DI31" s="14">
        <v>10</v>
      </c>
      <c r="DJ31" s="14">
        <v>10</v>
      </c>
      <c r="DK31" s="15"/>
      <c r="DM31" s="14">
        <v>10</v>
      </c>
      <c r="DN31" s="14">
        <v>10</v>
      </c>
      <c r="DO31" s="14">
        <v>10</v>
      </c>
      <c r="DP31" s="14">
        <v>10</v>
      </c>
      <c r="DQ31" s="14">
        <v>10</v>
      </c>
      <c r="DR31" s="14">
        <v>10</v>
      </c>
      <c r="DS31" s="14">
        <v>10</v>
      </c>
      <c r="DT31" s="14">
        <v>10</v>
      </c>
      <c r="DU31" s="14">
        <v>10</v>
      </c>
      <c r="DV31" s="14">
        <v>10</v>
      </c>
      <c r="DW31" s="14">
        <v>10</v>
      </c>
      <c r="DX31" s="14">
        <v>10</v>
      </c>
      <c r="DY31" s="15"/>
    </row>
    <row r="32" spans="3:129" x14ac:dyDescent="0.3">
      <c r="C32" s="135" t="s">
        <v>109</v>
      </c>
      <c r="D32" s="31"/>
      <c r="E32" s="40"/>
      <c r="F32" s="40"/>
      <c r="G32" s="40"/>
      <c r="H32" s="40"/>
      <c r="I32" s="40"/>
      <c r="J32" s="40"/>
      <c r="K32" s="40"/>
      <c r="L32" s="40"/>
      <c r="M32" s="40"/>
      <c r="N32" s="40"/>
      <c r="O32" s="40"/>
      <c r="P32" s="40"/>
      <c r="Q32" s="40">
        <f t="shared" si="304"/>
        <v>0</v>
      </c>
      <c r="S32" s="14"/>
      <c r="T32" s="14"/>
      <c r="U32" s="14"/>
      <c r="V32" s="14"/>
      <c r="W32" s="14"/>
      <c r="X32" s="14"/>
      <c r="Y32" s="14"/>
      <c r="Z32" s="14"/>
      <c r="AA32" s="14"/>
      <c r="AB32" s="14"/>
      <c r="AC32" s="14"/>
      <c r="AD32" s="14"/>
      <c r="AE32" s="15"/>
      <c r="AG32" s="14"/>
      <c r="AH32" s="14"/>
      <c r="AI32" s="14"/>
      <c r="AJ32" s="14"/>
      <c r="AK32" s="14"/>
      <c r="AL32" s="14"/>
      <c r="AM32" s="14"/>
      <c r="AN32" s="14"/>
      <c r="AO32" s="14"/>
      <c r="AP32" s="14"/>
      <c r="AQ32" s="14"/>
      <c r="AR32" s="14"/>
      <c r="AS32" s="15"/>
      <c r="AU32" s="14"/>
      <c r="AV32" s="14"/>
      <c r="AW32" s="14"/>
      <c r="AX32" s="14"/>
      <c r="AY32" s="14"/>
      <c r="AZ32" s="14"/>
      <c r="BA32" s="14"/>
      <c r="BB32" s="14"/>
      <c r="BC32" s="14"/>
      <c r="BD32" s="14"/>
      <c r="BE32" s="14"/>
      <c r="BF32" s="14"/>
      <c r="BG32" s="15"/>
      <c r="BI32" s="14"/>
      <c r="BJ32" s="14"/>
      <c r="BK32" s="14"/>
      <c r="BL32" s="14"/>
      <c r="BM32" s="14"/>
      <c r="BN32" s="14"/>
      <c r="BO32" s="14"/>
      <c r="BP32" s="14"/>
      <c r="BQ32" s="14"/>
      <c r="BR32" s="14"/>
      <c r="BS32" s="14"/>
      <c r="BT32" s="14"/>
      <c r="BU32" s="15"/>
      <c r="BW32" s="14"/>
      <c r="BX32" s="14"/>
      <c r="BY32" s="14"/>
      <c r="BZ32" s="14"/>
      <c r="CA32" s="14"/>
      <c r="CB32" s="14"/>
      <c r="CC32" s="14"/>
      <c r="CD32" s="14"/>
      <c r="CE32" s="14"/>
      <c r="CF32" s="14"/>
      <c r="CG32" s="14"/>
      <c r="CH32" s="14"/>
      <c r="CI32" s="15"/>
      <c r="CK32" s="14"/>
      <c r="CL32" s="14"/>
      <c r="CM32" s="14"/>
      <c r="CN32" s="14"/>
      <c r="CO32" s="14"/>
      <c r="CP32" s="14"/>
      <c r="CQ32" s="14"/>
      <c r="CR32" s="14"/>
      <c r="CS32" s="14"/>
      <c r="CT32" s="14"/>
      <c r="CU32" s="14"/>
      <c r="CV32" s="14"/>
      <c r="CW32" s="15"/>
      <c r="CY32" s="14"/>
      <c r="CZ32" s="14"/>
      <c r="DA32" s="14"/>
      <c r="DB32" s="14"/>
      <c r="DC32" s="14"/>
      <c r="DD32" s="14"/>
      <c r="DE32" s="14"/>
      <c r="DF32" s="14"/>
      <c r="DG32" s="14"/>
      <c r="DH32" s="14"/>
      <c r="DI32" s="14"/>
      <c r="DJ32" s="14"/>
      <c r="DK32" s="15"/>
      <c r="DM32" s="14"/>
      <c r="DN32" s="14"/>
      <c r="DO32" s="14"/>
      <c r="DP32" s="14"/>
      <c r="DQ32" s="14"/>
      <c r="DR32" s="14"/>
      <c r="DS32" s="14"/>
      <c r="DT32" s="14"/>
      <c r="DU32" s="14"/>
      <c r="DV32" s="14"/>
      <c r="DW32" s="14"/>
      <c r="DX32" s="14"/>
      <c r="DY32" s="15"/>
    </row>
    <row r="33" spans="3:129" x14ac:dyDescent="0.3">
      <c r="C33" s="135" t="s">
        <v>110</v>
      </c>
      <c r="D33" s="31"/>
      <c r="E33" s="40">
        <v>130</v>
      </c>
      <c r="F33" s="40">
        <v>200</v>
      </c>
      <c r="G33" s="40">
        <v>200</v>
      </c>
      <c r="H33" s="40">
        <v>200</v>
      </c>
      <c r="I33" s="40">
        <v>200</v>
      </c>
      <c r="J33" s="40">
        <v>200</v>
      </c>
      <c r="K33" s="40">
        <v>200</v>
      </c>
      <c r="L33" s="40">
        <v>200</v>
      </c>
      <c r="M33" s="40">
        <v>200</v>
      </c>
      <c r="N33" s="40">
        <v>200</v>
      </c>
      <c r="O33" s="40">
        <v>200</v>
      </c>
      <c r="P33" s="40">
        <v>200</v>
      </c>
      <c r="Q33" s="40">
        <f t="shared" si="304"/>
        <v>2330</v>
      </c>
      <c r="S33" s="14"/>
      <c r="T33" s="14"/>
      <c r="U33" s="14"/>
      <c r="V33" s="14"/>
      <c r="W33" s="14"/>
      <c r="X33" s="14"/>
      <c r="Y33" s="14"/>
      <c r="Z33" s="14"/>
      <c r="AA33" s="14"/>
      <c r="AB33" s="14"/>
      <c r="AC33" s="14"/>
      <c r="AD33" s="14"/>
      <c r="AE33" s="15"/>
      <c r="AG33" s="14"/>
      <c r="AH33" s="14"/>
      <c r="AI33" s="14"/>
      <c r="AJ33" s="14"/>
      <c r="AK33" s="14"/>
      <c r="AL33" s="14"/>
      <c r="AM33" s="14"/>
      <c r="AN33" s="14"/>
      <c r="AO33" s="14"/>
      <c r="AP33" s="14"/>
      <c r="AQ33" s="14"/>
      <c r="AR33" s="14"/>
      <c r="AS33" s="15"/>
      <c r="AU33" s="14"/>
      <c r="AV33" s="14"/>
      <c r="AW33" s="14"/>
      <c r="AX33" s="14"/>
      <c r="AY33" s="14"/>
      <c r="AZ33" s="14"/>
      <c r="BA33" s="14"/>
      <c r="BB33" s="14"/>
      <c r="BC33" s="14"/>
      <c r="BD33" s="14"/>
      <c r="BE33" s="14"/>
      <c r="BF33" s="14"/>
      <c r="BG33" s="15"/>
      <c r="BI33" s="14"/>
      <c r="BJ33" s="14"/>
      <c r="BK33" s="14"/>
      <c r="BL33" s="14"/>
      <c r="BM33" s="14"/>
      <c r="BN33" s="14"/>
      <c r="BO33" s="14"/>
      <c r="BP33" s="14"/>
      <c r="BQ33" s="14"/>
      <c r="BR33" s="14"/>
      <c r="BS33" s="14"/>
      <c r="BT33" s="14"/>
      <c r="BU33" s="15"/>
      <c r="BW33" s="14"/>
      <c r="BX33" s="14"/>
      <c r="BY33" s="14"/>
      <c r="BZ33" s="14"/>
      <c r="CA33" s="14"/>
      <c r="CB33" s="14"/>
      <c r="CC33" s="14"/>
      <c r="CD33" s="14"/>
      <c r="CE33" s="14"/>
      <c r="CF33" s="14"/>
      <c r="CG33" s="14"/>
      <c r="CH33" s="14"/>
      <c r="CI33" s="15"/>
      <c r="CK33" s="14"/>
      <c r="CL33" s="14"/>
      <c r="CM33" s="14"/>
      <c r="CN33" s="14"/>
      <c r="CO33" s="14"/>
      <c r="CP33" s="14"/>
      <c r="CQ33" s="14"/>
      <c r="CR33" s="14"/>
      <c r="CS33" s="14"/>
      <c r="CT33" s="14"/>
      <c r="CU33" s="14"/>
      <c r="CV33" s="14"/>
      <c r="CW33" s="15"/>
      <c r="CY33" s="14"/>
      <c r="CZ33" s="14"/>
      <c r="DA33" s="14"/>
      <c r="DB33" s="14"/>
      <c r="DC33" s="14"/>
      <c r="DD33" s="14"/>
      <c r="DE33" s="14"/>
      <c r="DF33" s="14"/>
      <c r="DG33" s="14"/>
      <c r="DH33" s="14"/>
      <c r="DI33" s="14"/>
      <c r="DJ33" s="14"/>
      <c r="DK33" s="15"/>
      <c r="DM33" s="14"/>
      <c r="DN33" s="14"/>
      <c r="DO33" s="14"/>
      <c r="DP33" s="14"/>
      <c r="DQ33" s="14"/>
      <c r="DR33" s="14"/>
      <c r="DS33" s="14"/>
      <c r="DT33" s="14"/>
      <c r="DU33" s="14"/>
      <c r="DV33" s="14"/>
      <c r="DW33" s="14"/>
      <c r="DX33" s="14"/>
      <c r="DY33" s="15"/>
    </row>
    <row r="34" spans="3:129" x14ac:dyDescent="0.3">
      <c r="C34" s="135" t="s">
        <v>111</v>
      </c>
      <c r="D34" s="31"/>
      <c r="E34" s="40">
        <v>200</v>
      </c>
      <c r="F34" s="40">
        <v>200</v>
      </c>
      <c r="G34" s="40">
        <v>200</v>
      </c>
      <c r="H34" s="40">
        <v>200</v>
      </c>
      <c r="I34" s="40">
        <v>200</v>
      </c>
      <c r="J34" s="40">
        <v>200</v>
      </c>
      <c r="K34" s="40">
        <v>200</v>
      </c>
      <c r="L34" s="40">
        <v>200</v>
      </c>
      <c r="M34" s="40">
        <v>200</v>
      </c>
      <c r="N34" s="40">
        <v>200</v>
      </c>
      <c r="O34" s="40">
        <v>200</v>
      </c>
      <c r="P34" s="40">
        <v>200</v>
      </c>
      <c r="Q34" s="40">
        <f t="shared" si="304"/>
        <v>2400</v>
      </c>
      <c r="S34" s="14"/>
      <c r="T34" s="14"/>
      <c r="U34" s="14"/>
      <c r="V34" s="14"/>
      <c r="W34" s="14"/>
      <c r="X34" s="14"/>
      <c r="Y34" s="14"/>
      <c r="Z34" s="14"/>
      <c r="AA34" s="14"/>
      <c r="AB34" s="14"/>
      <c r="AC34" s="14"/>
      <c r="AD34" s="14"/>
      <c r="AE34" s="15"/>
      <c r="AG34" s="14"/>
      <c r="AH34" s="14"/>
      <c r="AI34" s="14"/>
      <c r="AJ34" s="14"/>
      <c r="AK34" s="14"/>
      <c r="AL34" s="14"/>
      <c r="AM34" s="14"/>
      <c r="AN34" s="14"/>
      <c r="AO34" s="14"/>
      <c r="AP34" s="14"/>
      <c r="AQ34" s="14"/>
      <c r="AR34" s="14"/>
      <c r="AS34" s="15"/>
      <c r="AU34" s="14"/>
      <c r="AV34" s="14"/>
      <c r="AW34" s="14"/>
      <c r="AX34" s="14"/>
      <c r="AY34" s="14"/>
      <c r="AZ34" s="14"/>
      <c r="BA34" s="14"/>
      <c r="BB34" s="14"/>
      <c r="BC34" s="14"/>
      <c r="BD34" s="14"/>
      <c r="BE34" s="14"/>
      <c r="BF34" s="14"/>
      <c r="BG34" s="15"/>
      <c r="BI34" s="14"/>
      <c r="BJ34" s="14"/>
      <c r="BK34" s="14"/>
      <c r="BL34" s="14"/>
      <c r="BM34" s="14"/>
      <c r="BN34" s="14"/>
      <c r="BO34" s="14"/>
      <c r="BP34" s="14"/>
      <c r="BQ34" s="14"/>
      <c r="BR34" s="14"/>
      <c r="BS34" s="14"/>
      <c r="BT34" s="14"/>
      <c r="BU34" s="15"/>
      <c r="BW34" s="14"/>
      <c r="BX34" s="14"/>
      <c r="BY34" s="14"/>
      <c r="BZ34" s="14"/>
      <c r="CA34" s="14"/>
      <c r="CB34" s="14"/>
      <c r="CC34" s="14"/>
      <c r="CD34" s="14"/>
      <c r="CE34" s="14"/>
      <c r="CF34" s="14"/>
      <c r="CG34" s="14"/>
      <c r="CH34" s="14"/>
      <c r="CI34" s="15"/>
      <c r="CK34" s="14"/>
      <c r="CL34" s="14"/>
      <c r="CM34" s="14"/>
      <c r="CN34" s="14"/>
      <c r="CO34" s="14"/>
      <c r="CP34" s="14"/>
      <c r="CQ34" s="14"/>
      <c r="CR34" s="14"/>
      <c r="CS34" s="14"/>
      <c r="CT34" s="14"/>
      <c r="CU34" s="14"/>
      <c r="CV34" s="14"/>
      <c r="CW34" s="15"/>
      <c r="CY34" s="14"/>
      <c r="CZ34" s="14"/>
      <c r="DA34" s="14"/>
      <c r="DB34" s="14"/>
      <c r="DC34" s="14"/>
      <c r="DD34" s="14"/>
      <c r="DE34" s="14"/>
      <c r="DF34" s="14"/>
      <c r="DG34" s="14"/>
      <c r="DH34" s="14"/>
      <c r="DI34" s="14"/>
      <c r="DJ34" s="14"/>
      <c r="DK34" s="15"/>
      <c r="DM34" s="14"/>
      <c r="DN34" s="14"/>
      <c r="DO34" s="14"/>
      <c r="DP34" s="14"/>
      <c r="DQ34" s="14"/>
      <c r="DR34" s="14"/>
      <c r="DS34" s="14"/>
      <c r="DT34" s="14"/>
      <c r="DU34" s="14"/>
      <c r="DV34" s="14"/>
      <c r="DW34" s="14"/>
      <c r="DX34" s="14"/>
      <c r="DY34" s="15"/>
    </row>
    <row r="35" spans="3:129" x14ac:dyDescent="0.3">
      <c r="C35" s="135" t="s">
        <v>80</v>
      </c>
      <c r="D35" s="31"/>
      <c r="E35" s="40"/>
      <c r="F35" s="40"/>
      <c r="G35" s="40"/>
      <c r="H35" s="40"/>
      <c r="I35" s="40"/>
      <c r="J35" s="40"/>
      <c r="K35" s="40"/>
      <c r="L35" s="40"/>
      <c r="M35" s="40"/>
      <c r="N35" s="40"/>
      <c r="O35" s="40"/>
      <c r="P35" s="40"/>
      <c r="Q35" s="40">
        <f t="shared" si="304"/>
        <v>0</v>
      </c>
      <c r="S35" s="14"/>
      <c r="T35" s="14"/>
      <c r="U35" s="14"/>
      <c r="V35" s="14"/>
      <c r="W35" s="14"/>
      <c r="X35" s="14"/>
      <c r="Y35" s="14"/>
      <c r="Z35" s="14"/>
      <c r="AA35" s="14"/>
      <c r="AB35" s="14"/>
      <c r="AC35" s="14"/>
      <c r="AD35" s="14"/>
      <c r="AE35" s="15"/>
      <c r="AG35" s="14"/>
      <c r="AH35" s="14"/>
      <c r="AI35" s="14"/>
      <c r="AJ35" s="14"/>
      <c r="AK35" s="14"/>
      <c r="AL35" s="14"/>
      <c r="AM35" s="14"/>
      <c r="AN35" s="14"/>
      <c r="AO35" s="14"/>
      <c r="AP35" s="14"/>
      <c r="AQ35" s="14"/>
      <c r="AR35" s="14"/>
      <c r="AS35" s="15"/>
      <c r="AU35" s="14"/>
      <c r="AV35" s="14"/>
      <c r="AW35" s="14"/>
      <c r="AX35" s="14"/>
      <c r="AY35" s="14"/>
      <c r="AZ35" s="14"/>
      <c r="BA35" s="14"/>
      <c r="BB35" s="14"/>
      <c r="BC35" s="14"/>
      <c r="BD35" s="14"/>
      <c r="BE35" s="14"/>
      <c r="BF35" s="14"/>
      <c r="BG35" s="15"/>
      <c r="BI35" s="14"/>
      <c r="BJ35" s="14"/>
      <c r="BK35" s="14"/>
      <c r="BL35" s="14"/>
      <c r="BM35" s="14"/>
      <c r="BN35" s="14"/>
      <c r="BO35" s="14"/>
      <c r="BP35" s="14"/>
      <c r="BQ35" s="14"/>
      <c r="BR35" s="14"/>
      <c r="BS35" s="14"/>
      <c r="BT35" s="14"/>
      <c r="BU35" s="15"/>
      <c r="BW35" s="14"/>
      <c r="BX35" s="14"/>
      <c r="BY35" s="14"/>
      <c r="BZ35" s="14"/>
      <c r="CA35" s="14"/>
      <c r="CB35" s="14"/>
      <c r="CC35" s="14"/>
      <c r="CD35" s="14"/>
      <c r="CE35" s="14"/>
      <c r="CF35" s="14"/>
      <c r="CG35" s="14"/>
      <c r="CH35" s="14"/>
      <c r="CI35" s="15"/>
      <c r="CK35" s="14"/>
      <c r="CL35" s="14"/>
      <c r="CM35" s="14"/>
      <c r="CN35" s="14"/>
      <c r="CO35" s="14"/>
      <c r="CP35" s="14"/>
      <c r="CQ35" s="14"/>
      <c r="CR35" s="14"/>
      <c r="CS35" s="14"/>
      <c r="CT35" s="14"/>
      <c r="CU35" s="14"/>
      <c r="CV35" s="14"/>
      <c r="CW35" s="15"/>
      <c r="CY35" s="14"/>
      <c r="CZ35" s="14"/>
      <c r="DA35" s="14"/>
      <c r="DB35" s="14"/>
      <c r="DC35" s="14"/>
      <c r="DD35" s="14"/>
      <c r="DE35" s="14"/>
      <c r="DF35" s="14"/>
      <c r="DG35" s="14"/>
      <c r="DH35" s="14"/>
      <c r="DI35" s="14"/>
      <c r="DJ35" s="14"/>
      <c r="DK35" s="15"/>
      <c r="DM35" s="14"/>
      <c r="DN35" s="14"/>
      <c r="DO35" s="14"/>
      <c r="DP35" s="14"/>
      <c r="DQ35" s="14"/>
      <c r="DR35" s="14"/>
      <c r="DS35" s="14"/>
      <c r="DT35" s="14"/>
      <c r="DU35" s="14"/>
      <c r="DV35" s="14"/>
      <c r="DW35" s="14"/>
      <c r="DX35" s="14"/>
      <c r="DY35" s="15"/>
    </row>
    <row r="36" spans="3:129" x14ac:dyDescent="0.3">
      <c r="C36" s="135" t="s">
        <v>113</v>
      </c>
      <c r="D36" s="31"/>
      <c r="E36" s="40"/>
      <c r="F36" s="40"/>
      <c r="G36" s="40"/>
      <c r="H36" s="40"/>
      <c r="I36" s="40"/>
      <c r="J36" s="40"/>
      <c r="K36" s="40"/>
      <c r="L36" s="40"/>
      <c r="M36" s="40"/>
      <c r="N36" s="40"/>
      <c r="O36" s="40"/>
      <c r="P36" s="40"/>
      <c r="Q36" s="40">
        <f t="shared" si="304"/>
        <v>0</v>
      </c>
      <c r="S36" s="14"/>
      <c r="T36" s="14"/>
      <c r="U36" s="14"/>
      <c r="V36" s="14"/>
      <c r="W36" s="14"/>
      <c r="X36" s="14"/>
      <c r="Y36" s="14"/>
      <c r="Z36" s="14"/>
      <c r="AA36" s="14"/>
      <c r="AB36" s="14"/>
      <c r="AC36" s="14"/>
      <c r="AD36" s="14"/>
      <c r="AE36" s="15"/>
      <c r="AG36" s="14"/>
      <c r="AH36" s="14"/>
      <c r="AI36" s="14"/>
      <c r="AJ36" s="14"/>
      <c r="AK36" s="14"/>
      <c r="AL36" s="14"/>
      <c r="AM36" s="14"/>
      <c r="AN36" s="14"/>
      <c r="AO36" s="14"/>
      <c r="AP36" s="14"/>
      <c r="AQ36" s="14"/>
      <c r="AR36" s="14"/>
      <c r="AS36" s="15"/>
      <c r="AU36" s="14"/>
      <c r="AV36" s="14"/>
      <c r="AW36" s="14"/>
      <c r="AX36" s="14"/>
      <c r="AY36" s="14"/>
      <c r="AZ36" s="14"/>
      <c r="BA36" s="14"/>
      <c r="BB36" s="14"/>
      <c r="BC36" s="14"/>
      <c r="BD36" s="14"/>
      <c r="BE36" s="14"/>
      <c r="BF36" s="14"/>
      <c r="BG36" s="15"/>
      <c r="BI36" s="14"/>
      <c r="BJ36" s="14"/>
      <c r="BK36" s="14"/>
      <c r="BL36" s="14"/>
      <c r="BM36" s="14"/>
      <c r="BN36" s="14"/>
      <c r="BO36" s="14"/>
      <c r="BP36" s="14"/>
      <c r="BQ36" s="14"/>
      <c r="BR36" s="14"/>
      <c r="BS36" s="14"/>
      <c r="BT36" s="14"/>
      <c r="BU36" s="15"/>
      <c r="BW36" s="14"/>
      <c r="BX36" s="14"/>
      <c r="BY36" s="14"/>
      <c r="BZ36" s="14"/>
      <c r="CA36" s="14"/>
      <c r="CB36" s="14"/>
      <c r="CC36" s="14"/>
      <c r="CD36" s="14"/>
      <c r="CE36" s="14"/>
      <c r="CF36" s="14"/>
      <c r="CG36" s="14"/>
      <c r="CH36" s="14"/>
      <c r="CI36" s="15"/>
      <c r="CK36" s="14"/>
      <c r="CL36" s="14"/>
      <c r="CM36" s="14"/>
      <c r="CN36" s="14"/>
      <c r="CO36" s="14"/>
      <c r="CP36" s="14"/>
      <c r="CQ36" s="14"/>
      <c r="CR36" s="14"/>
      <c r="CS36" s="14"/>
      <c r="CT36" s="14"/>
      <c r="CU36" s="14"/>
      <c r="CV36" s="14"/>
      <c r="CW36" s="15"/>
      <c r="CY36" s="14"/>
      <c r="CZ36" s="14"/>
      <c r="DA36" s="14"/>
      <c r="DB36" s="14"/>
      <c r="DC36" s="14"/>
      <c r="DD36" s="14"/>
      <c r="DE36" s="14"/>
      <c r="DF36" s="14"/>
      <c r="DG36" s="14"/>
      <c r="DH36" s="14"/>
      <c r="DI36" s="14"/>
      <c r="DJ36" s="14"/>
      <c r="DK36" s="15"/>
      <c r="DM36" s="14"/>
      <c r="DN36" s="14"/>
      <c r="DO36" s="14"/>
      <c r="DP36" s="14"/>
      <c r="DQ36" s="14"/>
      <c r="DR36" s="14"/>
      <c r="DS36" s="14"/>
      <c r="DT36" s="14"/>
      <c r="DU36" s="14"/>
      <c r="DV36" s="14"/>
      <c r="DW36" s="14"/>
      <c r="DX36" s="14"/>
      <c r="DY36" s="15"/>
    </row>
    <row r="37" spans="3:129" x14ac:dyDescent="0.3">
      <c r="C37" s="135" t="s">
        <v>112</v>
      </c>
      <c r="D37" s="31"/>
      <c r="E37" s="40">
        <v>50</v>
      </c>
      <c r="F37" s="40">
        <v>50</v>
      </c>
      <c r="G37" s="40">
        <v>50</v>
      </c>
      <c r="H37" s="40">
        <v>50</v>
      </c>
      <c r="I37" s="40">
        <v>50</v>
      </c>
      <c r="J37" s="40">
        <v>50</v>
      </c>
      <c r="K37" s="40">
        <v>50</v>
      </c>
      <c r="L37" s="40">
        <v>50</v>
      </c>
      <c r="M37" s="40">
        <v>50</v>
      </c>
      <c r="N37" s="40">
        <v>50</v>
      </c>
      <c r="O37" s="40">
        <v>50</v>
      </c>
      <c r="P37" s="40">
        <v>50</v>
      </c>
      <c r="Q37" s="40">
        <f t="shared" si="304"/>
        <v>600</v>
      </c>
      <c r="S37" s="14"/>
      <c r="T37" s="14"/>
      <c r="U37" s="14"/>
      <c r="V37" s="14"/>
      <c r="W37" s="14"/>
      <c r="X37" s="14"/>
      <c r="Y37" s="14"/>
      <c r="Z37" s="14"/>
      <c r="AA37" s="14"/>
      <c r="AB37" s="14"/>
      <c r="AC37" s="14"/>
      <c r="AD37" s="14"/>
      <c r="AE37" s="15">
        <f t="shared" ref="AE37:AE38" si="313">SUM(S37:AD37)</f>
        <v>0</v>
      </c>
      <c r="AG37" s="14"/>
      <c r="AH37" s="14"/>
      <c r="AI37" s="14"/>
      <c r="AJ37" s="14"/>
      <c r="AK37" s="14"/>
      <c r="AL37" s="14"/>
      <c r="AM37" s="14"/>
      <c r="AN37" s="14"/>
      <c r="AO37" s="14"/>
      <c r="AP37" s="14"/>
      <c r="AQ37" s="14"/>
      <c r="AR37" s="14"/>
      <c r="AS37" s="15">
        <f t="shared" ref="AS37:AS38" si="314">SUM(AG37:AR37)</f>
        <v>0</v>
      </c>
      <c r="AU37" s="14"/>
      <c r="AV37" s="14"/>
      <c r="AW37" s="14"/>
      <c r="AX37" s="14"/>
      <c r="AY37" s="14"/>
      <c r="AZ37" s="14"/>
      <c r="BA37" s="14"/>
      <c r="BB37" s="14"/>
      <c r="BC37" s="14"/>
      <c r="BD37" s="14"/>
      <c r="BE37" s="14"/>
      <c r="BF37" s="14"/>
      <c r="BG37" s="15">
        <f t="shared" ref="BG37:BG38" si="315">SUM(AU37:BF37)</f>
        <v>0</v>
      </c>
      <c r="BI37" s="14"/>
      <c r="BJ37" s="14"/>
      <c r="BK37" s="14"/>
      <c r="BL37" s="14"/>
      <c r="BM37" s="14"/>
      <c r="BN37" s="14"/>
      <c r="BO37" s="14"/>
      <c r="BP37" s="14"/>
      <c r="BQ37" s="14"/>
      <c r="BR37" s="14"/>
      <c r="BS37" s="14"/>
      <c r="BT37" s="14"/>
      <c r="BU37" s="15">
        <f t="shared" ref="BU37:BU38" si="316">SUM(BI37:BT37)</f>
        <v>0</v>
      </c>
      <c r="BW37" s="14"/>
      <c r="BX37" s="14"/>
      <c r="BY37" s="14"/>
      <c r="BZ37" s="14"/>
      <c r="CA37" s="14"/>
      <c r="CB37" s="14"/>
      <c r="CC37" s="14"/>
      <c r="CD37" s="14"/>
      <c r="CE37" s="14"/>
      <c r="CF37" s="14"/>
      <c r="CG37" s="14"/>
      <c r="CH37" s="14"/>
      <c r="CI37" s="15">
        <f t="shared" ref="CI37:CI38" si="317">SUM(BW37:CH37)</f>
        <v>0</v>
      </c>
      <c r="CK37" s="14"/>
      <c r="CL37" s="14"/>
      <c r="CM37" s="14"/>
      <c r="CN37" s="14"/>
      <c r="CO37" s="14"/>
      <c r="CP37" s="14"/>
      <c r="CQ37" s="14"/>
      <c r="CR37" s="14"/>
      <c r="CS37" s="14"/>
      <c r="CT37" s="14"/>
      <c r="CU37" s="14"/>
      <c r="CV37" s="14"/>
      <c r="CW37" s="15">
        <f t="shared" ref="CW37:CW38" si="318">SUM(CK37:CV37)</f>
        <v>0</v>
      </c>
      <c r="CY37" s="14"/>
      <c r="CZ37" s="14"/>
      <c r="DA37" s="14"/>
      <c r="DB37" s="14"/>
      <c r="DC37" s="14"/>
      <c r="DD37" s="14"/>
      <c r="DE37" s="14"/>
      <c r="DF37" s="14"/>
      <c r="DG37" s="14"/>
      <c r="DH37" s="14"/>
      <c r="DI37" s="14"/>
      <c r="DJ37" s="14"/>
      <c r="DK37" s="15">
        <f t="shared" ref="DK37:DK38" si="319">SUM(CY37:DJ37)</f>
        <v>0</v>
      </c>
      <c r="DM37" s="14"/>
      <c r="DN37" s="14"/>
      <c r="DO37" s="14"/>
      <c r="DP37" s="14"/>
      <c r="DQ37" s="14"/>
      <c r="DR37" s="14"/>
      <c r="DS37" s="14"/>
      <c r="DT37" s="14"/>
      <c r="DU37" s="14"/>
      <c r="DV37" s="14"/>
      <c r="DW37" s="14"/>
      <c r="DX37" s="14"/>
      <c r="DY37" s="15">
        <f t="shared" ref="DY37:DY38" si="320">SUM(DM37:DX37)</f>
        <v>0</v>
      </c>
    </row>
    <row r="38" spans="3:129" x14ac:dyDescent="0.3">
      <c r="C38" s="135" t="s">
        <v>116</v>
      </c>
      <c r="D38" s="31"/>
      <c r="E38" s="40">
        <v>50</v>
      </c>
      <c r="F38" s="40">
        <v>50</v>
      </c>
      <c r="G38" s="40">
        <v>50</v>
      </c>
      <c r="H38" s="40">
        <v>50</v>
      </c>
      <c r="I38" s="40">
        <v>50</v>
      </c>
      <c r="J38" s="40">
        <v>50</v>
      </c>
      <c r="K38" s="40">
        <v>50</v>
      </c>
      <c r="L38" s="40">
        <v>50</v>
      </c>
      <c r="M38" s="40">
        <v>50</v>
      </c>
      <c r="N38" s="40">
        <v>50</v>
      </c>
      <c r="O38" s="40">
        <v>50</v>
      </c>
      <c r="P38" s="40">
        <v>50</v>
      </c>
      <c r="Q38" s="40">
        <f t="shared" si="304"/>
        <v>600</v>
      </c>
      <c r="S38" s="14"/>
      <c r="T38" s="14"/>
      <c r="U38" s="14"/>
      <c r="V38" s="14"/>
      <c r="W38" s="14"/>
      <c r="X38" s="14"/>
      <c r="Y38" s="14"/>
      <c r="Z38" s="14"/>
      <c r="AA38" s="14"/>
      <c r="AB38" s="14"/>
      <c r="AC38" s="14"/>
      <c r="AD38" s="14"/>
      <c r="AE38" s="15">
        <f t="shared" si="313"/>
        <v>0</v>
      </c>
      <c r="AG38" s="14"/>
      <c r="AH38" s="14"/>
      <c r="AI38" s="14"/>
      <c r="AJ38" s="14"/>
      <c r="AK38" s="14"/>
      <c r="AL38" s="14"/>
      <c r="AM38" s="14"/>
      <c r="AN38" s="14"/>
      <c r="AO38" s="14"/>
      <c r="AP38" s="14"/>
      <c r="AQ38" s="14"/>
      <c r="AR38" s="14"/>
      <c r="AS38" s="15">
        <f t="shared" si="314"/>
        <v>0</v>
      </c>
      <c r="AU38" s="14"/>
      <c r="AV38" s="14"/>
      <c r="AW38" s="14"/>
      <c r="AX38" s="14"/>
      <c r="AY38" s="14"/>
      <c r="AZ38" s="14"/>
      <c r="BA38" s="14"/>
      <c r="BB38" s="14"/>
      <c r="BC38" s="14"/>
      <c r="BD38" s="14"/>
      <c r="BE38" s="14"/>
      <c r="BF38" s="14"/>
      <c r="BG38" s="15">
        <f t="shared" si="315"/>
        <v>0</v>
      </c>
      <c r="BI38" s="14"/>
      <c r="BJ38" s="14"/>
      <c r="BK38" s="14"/>
      <c r="BL38" s="14"/>
      <c r="BM38" s="14"/>
      <c r="BN38" s="14"/>
      <c r="BO38" s="14"/>
      <c r="BP38" s="14"/>
      <c r="BQ38" s="14"/>
      <c r="BR38" s="14"/>
      <c r="BS38" s="14"/>
      <c r="BT38" s="14"/>
      <c r="BU38" s="15">
        <f t="shared" si="316"/>
        <v>0</v>
      </c>
      <c r="BW38" s="14"/>
      <c r="BX38" s="14"/>
      <c r="BY38" s="14"/>
      <c r="BZ38" s="14"/>
      <c r="CA38" s="14"/>
      <c r="CB38" s="14"/>
      <c r="CC38" s="14"/>
      <c r="CD38" s="14"/>
      <c r="CE38" s="14"/>
      <c r="CF38" s="14"/>
      <c r="CG38" s="14"/>
      <c r="CH38" s="14"/>
      <c r="CI38" s="15">
        <f t="shared" si="317"/>
        <v>0</v>
      </c>
      <c r="CK38" s="14"/>
      <c r="CL38" s="14"/>
      <c r="CM38" s="14"/>
      <c r="CN38" s="14"/>
      <c r="CO38" s="14"/>
      <c r="CP38" s="14"/>
      <c r="CQ38" s="14"/>
      <c r="CR38" s="14"/>
      <c r="CS38" s="14"/>
      <c r="CT38" s="14"/>
      <c r="CU38" s="14"/>
      <c r="CV38" s="14"/>
      <c r="CW38" s="15">
        <f t="shared" si="318"/>
        <v>0</v>
      </c>
      <c r="CY38" s="14"/>
      <c r="CZ38" s="14"/>
      <c r="DA38" s="14"/>
      <c r="DB38" s="14"/>
      <c r="DC38" s="14"/>
      <c r="DD38" s="14"/>
      <c r="DE38" s="14"/>
      <c r="DF38" s="14"/>
      <c r="DG38" s="14"/>
      <c r="DH38" s="14"/>
      <c r="DI38" s="14"/>
      <c r="DJ38" s="14"/>
      <c r="DK38" s="15">
        <f t="shared" si="319"/>
        <v>0</v>
      </c>
      <c r="DM38" s="14"/>
      <c r="DN38" s="14"/>
      <c r="DO38" s="14"/>
      <c r="DP38" s="14"/>
      <c r="DQ38" s="14"/>
      <c r="DR38" s="14"/>
      <c r="DS38" s="14"/>
      <c r="DT38" s="14"/>
      <c r="DU38" s="14"/>
      <c r="DV38" s="14"/>
      <c r="DW38" s="14"/>
      <c r="DX38" s="14"/>
      <c r="DY38" s="15">
        <f t="shared" si="320"/>
        <v>0</v>
      </c>
    </row>
    <row r="39" spans="3:129" x14ac:dyDescent="0.3">
      <c r="C39" s="135" t="s">
        <v>117</v>
      </c>
      <c r="D39" s="31"/>
      <c r="E39" s="40"/>
      <c r="F39" s="40"/>
      <c r="G39" s="40"/>
      <c r="H39" s="40"/>
      <c r="I39" s="40"/>
      <c r="J39" s="40"/>
      <c r="K39" s="40"/>
      <c r="L39" s="40"/>
      <c r="M39" s="40"/>
      <c r="N39" s="40"/>
      <c r="O39" s="40"/>
      <c r="P39" s="40"/>
      <c r="Q39" s="40"/>
      <c r="S39" s="14"/>
      <c r="T39" s="14"/>
      <c r="U39" s="14"/>
      <c r="V39" s="14"/>
      <c r="W39" s="14"/>
      <c r="X39" s="14"/>
      <c r="Y39" s="14"/>
      <c r="Z39" s="14"/>
      <c r="AA39" s="14"/>
      <c r="AB39" s="14"/>
      <c r="AC39" s="14"/>
      <c r="AD39" s="14"/>
      <c r="AE39" s="15"/>
      <c r="AG39" s="14"/>
      <c r="AH39" s="14"/>
      <c r="AI39" s="14"/>
      <c r="AJ39" s="14"/>
      <c r="AK39" s="14"/>
      <c r="AL39" s="14"/>
      <c r="AM39" s="14"/>
      <c r="AN39" s="14"/>
      <c r="AO39" s="14"/>
      <c r="AP39" s="14"/>
      <c r="AQ39" s="14"/>
      <c r="AR39" s="14"/>
      <c r="AS39" s="15"/>
      <c r="AU39" s="14"/>
      <c r="AV39" s="14"/>
      <c r="AW39" s="14"/>
      <c r="AX39" s="14"/>
      <c r="AY39" s="14"/>
      <c r="AZ39" s="14"/>
      <c r="BA39" s="14"/>
      <c r="BB39" s="14"/>
      <c r="BC39" s="14"/>
      <c r="BD39" s="14"/>
      <c r="BE39" s="14"/>
      <c r="BF39" s="14"/>
      <c r="BG39" s="15"/>
      <c r="BI39" s="14"/>
      <c r="BJ39" s="14"/>
      <c r="BK39" s="14"/>
      <c r="BL39" s="14"/>
      <c r="BM39" s="14"/>
      <c r="BN39" s="14"/>
      <c r="BO39" s="14"/>
      <c r="BP39" s="14"/>
      <c r="BQ39" s="14"/>
      <c r="BR39" s="14"/>
      <c r="BS39" s="14"/>
      <c r="BT39" s="14"/>
      <c r="BU39" s="15"/>
      <c r="BW39" s="14"/>
      <c r="BX39" s="14"/>
      <c r="BY39" s="14"/>
      <c r="BZ39" s="14"/>
      <c r="CA39" s="14"/>
      <c r="CB39" s="14"/>
      <c r="CC39" s="14"/>
      <c r="CD39" s="14"/>
      <c r="CE39" s="14"/>
      <c r="CF39" s="14"/>
      <c r="CG39" s="14"/>
      <c r="CH39" s="14"/>
      <c r="CI39" s="15"/>
      <c r="CK39" s="14"/>
      <c r="CL39" s="14"/>
      <c r="CM39" s="14"/>
      <c r="CN39" s="14"/>
      <c r="CO39" s="14"/>
      <c r="CP39" s="14"/>
      <c r="CQ39" s="14"/>
      <c r="CR39" s="14"/>
      <c r="CS39" s="14"/>
      <c r="CT39" s="14"/>
      <c r="CU39" s="14"/>
      <c r="CV39" s="14"/>
      <c r="CW39" s="15"/>
      <c r="CY39" s="14"/>
      <c r="CZ39" s="14"/>
      <c r="DA39" s="14"/>
      <c r="DB39" s="14"/>
      <c r="DC39" s="14"/>
      <c r="DD39" s="14"/>
      <c r="DE39" s="14"/>
      <c r="DF39" s="14"/>
      <c r="DG39" s="14"/>
      <c r="DH39" s="14"/>
      <c r="DI39" s="14"/>
      <c r="DJ39" s="14"/>
      <c r="DK39" s="15"/>
      <c r="DM39" s="14"/>
      <c r="DN39" s="14"/>
      <c r="DO39" s="14"/>
      <c r="DP39" s="14"/>
      <c r="DQ39" s="14"/>
      <c r="DR39" s="14"/>
      <c r="DS39" s="14"/>
      <c r="DT39" s="14"/>
      <c r="DU39" s="14"/>
      <c r="DV39" s="14"/>
      <c r="DW39" s="14"/>
      <c r="DX39" s="14"/>
      <c r="DY39" s="15"/>
    </row>
    <row r="40" spans="3:129" x14ac:dyDescent="0.3">
      <c r="C40" s="135" t="s">
        <v>118</v>
      </c>
      <c r="D40" s="31"/>
      <c r="E40" s="40"/>
      <c r="F40" s="40"/>
      <c r="G40" s="40"/>
      <c r="H40" s="40"/>
      <c r="I40" s="40"/>
      <c r="J40" s="40"/>
      <c r="K40" s="40"/>
      <c r="L40" s="40"/>
      <c r="M40" s="40"/>
      <c r="N40" s="40"/>
      <c r="O40" s="40"/>
      <c r="P40" s="40"/>
      <c r="Q40" s="40">
        <f t="shared" ref="Q40" si="321">SUM(E40:P40)</f>
        <v>0</v>
      </c>
      <c r="S40" s="14"/>
      <c r="T40" s="14"/>
      <c r="U40" s="14"/>
      <c r="V40" s="14"/>
      <c r="W40" s="14"/>
      <c r="X40" s="14"/>
      <c r="Y40" s="14"/>
      <c r="Z40" s="14"/>
      <c r="AA40" s="14"/>
      <c r="AB40" s="14"/>
      <c r="AC40" s="14"/>
      <c r="AD40" s="14"/>
      <c r="AE40" s="15">
        <f t="shared" ref="AE40" si="322">SUM(S40:AD40)</f>
        <v>0</v>
      </c>
      <c r="AG40" s="14"/>
      <c r="AH40" s="14"/>
      <c r="AI40" s="14"/>
      <c r="AJ40" s="14"/>
      <c r="AK40" s="14"/>
      <c r="AL40" s="14"/>
      <c r="AM40" s="14"/>
      <c r="AN40" s="14"/>
      <c r="AO40" s="14"/>
      <c r="AP40" s="14"/>
      <c r="AQ40" s="14"/>
      <c r="AR40" s="14"/>
      <c r="AS40" s="15">
        <f t="shared" ref="AS40" si="323">SUM(AG40:AR40)</f>
        <v>0</v>
      </c>
      <c r="AU40" s="14"/>
      <c r="AV40" s="14"/>
      <c r="AW40" s="14"/>
      <c r="AX40" s="14"/>
      <c r="AY40" s="14"/>
      <c r="AZ40" s="14"/>
      <c r="BA40" s="14"/>
      <c r="BB40" s="14"/>
      <c r="BC40" s="14"/>
      <c r="BD40" s="14"/>
      <c r="BE40" s="14"/>
      <c r="BF40" s="14"/>
      <c r="BG40" s="15">
        <f t="shared" ref="BG40" si="324">SUM(AU40:BF40)</f>
        <v>0</v>
      </c>
      <c r="BI40" s="14"/>
      <c r="BJ40" s="14"/>
      <c r="BK40" s="14"/>
      <c r="BL40" s="14"/>
      <c r="BM40" s="14"/>
      <c r="BN40" s="14"/>
      <c r="BO40" s="14"/>
      <c r="BP40" s="14"/>
      <c r="BQ40" s="14"/>
      <c r="BR40" s="14"/>
      <c r="BS40" s="14"/>
      <c r="BT40" s="14"/>
      <c r="BU40" s="15">
        <f t="shared" ref="BU40" si="325">SUM(BI40:BT40)</f>
        <v>0</v>
      </c>
      <c r="BW40" s="14"/>
      <c r="BX40" s="14"/>
      <c r="BY40" s="14"/>
      <c r="BZ40" s="14"/>
      <c r="CA40" s="14"/>
      <c r="CB40" s="14"/>
      <c r="CC40" s="14"/>
      <c r="CD40" s="14"/>
      <c r="CE40" s="14"/>
      <c r="CF40" s="14"/>
      <c r="CG40" s="14"/>
      <c r="CH40" s="14"/>
      <c r="CI40" s="15">
        <f t="shared" ref="CI40" si="326">SUM(BW40:CH40)</f>
        <v>0</v>
      </c>
      <c r="CK40" s="14"/>
      <c r="CL40" s="14"/>
      <c r="CM40" s="14"/>
      <c r="CN40" s="14"/>
      <c r="CO40" s="14"/>
      <c r="CP40" s="14"/>
      <c r="CQ40" s="14"/>
      <c r="CR40" s="14"/>
      <c r="CS40" s="14"/>
      <c r="CT40" s="14"/>
      <c r="CU40" s="14"/>
      <c r="CV40" s="14"/>
      <c r="CW40" s="15">
        <f t="shared" ref="CW40" si="327">SUM(CK40:CV40)</f>
        <v>0</v>
      </c>
      <c r="CY40" s="14"/>
      <c r="CZ40" s="14"/>
      <c r="DA40" s="14"/>
      <c r="DB40" s="14"/>
      <c r="DC40" s="14"/>
      <c r="DD40" s="14"/>
      <c r="DE40" s="14"/>
      <c r="DF40" s="14"/>
      <c r="DG40" s="14"/>
      <c r="DH40" s="14"/>
      <c r="DI40" s="14"/>
      <c r="DJ40" s="14"/>
      <c r="DK40" s="15">
        <f t="shared" ref="DK40" si="328">SUM(CY40:DJ40)</f>
        <v>0</v>
      </c>
      <c r="DM40" s="14"/>
      <c r="DN40" s="14"/>
      <c r="DO40" s="14"/>
      <c r="DP40" s="14"/>
      <c r="DQ40" s="14"/>
      <c r="DR40" s="14"/>
      <c r="DS40" s="14"/>
      <c r="DT40" s="14"/>
      <c r="DU40" s="14"/>
      <c r="DV40" s="14"/>
      <c r="DW40" s="14"/>
      <c r="DX40" s="14"/>
      <c r="DY40" s="15">
        <f t="shared" ref="DY40" si="329">SUM(DM40:DX40)</f>
        <v>0</v>
      </c>
    </row>
    <row r="41" spans="3:129" x14ac:dyDescent="0.3">
      <c r="C41" s="43" t="s">
        <v>6</v>
      </c>
      <c r="D41" s="44"/>
      <c r="E41" s="45" cm="1">
        <f t="array" aca="1" ref="E41" ca="1">SUM(INDIRECT(ADDRESS(expenses_min_row, COLUMN()) &amp; ":" &amp; ADDRESS(expenses_max_row,COLUMN())))</f>
        <v>1725</v>
      </c>
      <c r="F41" s="45" cm="1">
        <f t="array" aca="1" ref="F41" ca="1">SUM(INDIRECT(ADDRESS(expenses_min_row, COLUMN()) &amp; ":" &amp; ADDRESS(expenses_max_row,COLUMN())))</f>
        <v>1545</v>
      </c>
      <c r="G41" s="45" cm="1">
        <f t="array" aca="1" ref="G41" ca="1">SUM(INDIRECT(ADDRESS(expenses_min_row, COLUMN()) &amp; ":" &amp; ADDRESS(expenses_max_row,COLUMN())))</f>
        <v>1895</v>
      </c>
      <c r="H41" s="45" cm="1">
        <f t="array" aca="1" ref="H41" ca="1">SUM(INDIRECT(ADDRESS(expenses_min_row, COLUMN()) &amp; ":" &amp; ADDRESS(expenses_max_row,COLUMN())))</f>
        <v>1895</v>
      </c>
      <c r="I41" s="45" cm="1">
        <f t="array" aca="1" ref="I41" ca="1">SUM(INDIRECT(ADDRESS(expenses_min_row, COLUMN()) &amp; ":" &amp; ADDRESS(expenses_max_row,COLUMN())))</f>
        <v>1895</v>
      </c>
      <c r="J41" s="45" cm="1">
        <f t="array" aca="1" ref="J41" ca="1">SUM(INDIRECT(ADDRESS(expenses_min_row, COLUMN()) &amp; ":" &amp; ADDRESS(expenses_max_row,COLUMN())))</f>
        <v>1895</v>
      </c>
      <c r="K41" s="45" cm="1">
        <f t="array" aca="1" ref="K41" ca="1">SUM(INDIRECT(ADDRESS(expenses_min_row, COLUMN()) &amp; ":" &amp; ADDRESS(expenses_max_row,COLUMN())))</f>
        <v>1895</v>
      </c>
      <c r="L41" s="45" cm="1">
        <f t="array" aca="1" ref="L41" ca="1">SUM(INDIRECT(ADDRESS(expenses_min_row, COLUMN()) &amp; ":" &amp; ADDRESS(expenses_max_row,COLUMN())))</f>
        <v>1895</v>
      </c>
      <c r="M41" s="45" cm="1">
        <f t="array" aca="1" ref="M41" ca="1">SUM(INDIRECT(ADDRESS(expenses_min_row, COLUMN()) &amp; ":" &amp; ADDRESS(expenses_max_row,COLUMN())))</f>
        <v>1895</v>
      </c>
      <c r="N41" s="45" cm="1">
        <f t="array" aca="1" ref="N41" ca="1">SUM(INDIRECT(ADDRESS(expenses_min_row, COLUMN()) &amp; ":" &amp; ADDRESS(expenses_max_row,COLUMN())))</f>
        <v>1895</v>
      </c>
      <c r="O41" s="45" cm="1">
        <f t="array" aca="1" ref="O41" ca="1">SUM(INDIRECT(ADDRESS(expenses_min_row, COLUMN()) &amp; ":" &amp; ADDRESS(expenses_max_row,COLUMN())))</f>
        <v>1895</v>
      </c>
      <c r="P41" s="45" cm="1">
        <f t="array" aca="1" ref="P41" ca="1">SUM(INDIRECT(ADDRESS(expenses_min_row, COLUMN()) &amp; ":" &amp; ADDRESS(expenses_max_row,COLUMN())))</f>
        <v>1895</v>
      </c>
      <c r="Q41" s="45" cm="1">
        <f t="array" aca="1" ref="Q41" ca="1">SUM(INDIRECT(ADDRESS(expenses_min_row, COLUMN()) &amp; ":" &amp; ADDRESS(expenses_max_row,COLUMN())))</f>
        <v>22220</v>
      </c>
      <c r="S41" s="16" cm="1">
        <f t="array" aca="1" ref="S41" ca="1">SUM(INDIRECT(ADDRESS(expenses_min_row, COLUMN()) &amp; ":" &amp; ADDRESS(expenses_max_row,COLUMN())))</f>
        <v>10</v>
      </c>
      <c r="T41" s="16" cm="1">
        <f t="array" aca="1" ref="T41" ca="1">SUM(INDIRECT(ADDRESS(expenses_min_row, COLUMN()) &amp; ":" &amp; ADDRESS(expenses_max_row,COLUMN())))</f>
        <v>10</v>
      </c>
      <c r="U41" s="16" cm="1">
        <f t="array" aca="1" ref="U41" ca="1">SUM(INDIRECT(ADDRESS(expenses_min_row, COLUMN()) &amp; ":" &amp; ADDRESS(expenses_max_row,COLUMN())))</f>
        <v>10</v>
      </c>
      <c r="V41" s="16" cm="1">
        <f t="array" aca="1" ref="V41" ca="1">SUM(INDIRECT(ADDRESS(expenses_min_row, COLUMN()) &amp; ":" &amp; ADDRESS(expenses_max_row,COLUMN())))</f>
        <v>10</v>
      </c>
      <c r="W41" s="16" cm="1">
        <f t="array" aca="1" ref="W41" ca="1">SUM(INDIRECT(ADDRESS(expenses_min_row, COLUMN()) &amp; ":" &amp; ADDRESS(expenses_max_row,COLUMN())))</f>
        <v>10</v>
      </c>
      <c r="X41" s="16" cm="1">
        <f t="array" aca="1" ref="X41" ca="1">SUM(INDIRECT(ADDRESS(expenses_min_row, COLUMN()) &amp; ":" &amp; ADDRESS(expenses_max_row,COLUMN())))</f>
        <v>10</v>
      </c>
      <c r="Y41" s="16" cm="1">
        <f t="array" aca="1" ref="Y41" ca="1">SUM(INDIRECT(ADDRESS(expenses_min_row, COLUMN()) &amp; ":" &amp; ADDRESS(expenses_max_row,COLUMN())))</f>
        <v>10</v>
      </c>
      <c r="Z41" s="16" cm="1">
        <f t="array" aca="1" ref="Z41" ca="1">SUM(INDIRECT(ADDRESS(expenses_min_row, COLUMN()) &amp; ":" &amp; ADDRESS(expenses_max_row,COLUMN())))</f>
        <v>10</v>
      </c>
      <c r="AA41" s="16" cm="1">
        <f t="array" aca="1" ref="AA41" ca="1">SUM(INDIRECT(ADDRESS(expenses_min_row, COLUMN()) &amp; ":" &amp; ADDRESS(expenses_max_row,COLUMN())))</f>
        <v>10</v>
      </c>
      <c r="AB41" s="16" cm="1">
        <f t="array" aca="1" ref="AB41" ca="1">SUM(INDIRECT(ADDRESS(expenses_min_row, COLUMN()) &amp; ":" &amp; ADDRESS(expenses_max_row,COLUMN())))</f>
        <v>10</v>
      </c>
      <c r="AC41" s="16" cm="1">
        <f t="array" aca="1" ref="AC41" ca="1">SUM(INDIRECT(ADDRESS(expenses_min_row, COLUMN()) &amp; ":" &amp; ADDRESS(expenses_max_row,COLUMN())))</f>
        <v>10</v>
      </c>
      <c r="AD41" s="16" cm="1">
        <f t="array" aca="1" ref="AD41" ca="1">SUM(INDIRECT(ADDRESS(expenses_min_row, COLUMN()) &amp; ":" &amp; ADDRESS(expenses_max_row,COLUMN())))</f>
        <v>10</v>
      </c>
      <c r="AE41" s="16" cm="1">
        <f t="array" aca="1" ref="AE41" ca="1">SUM(INDIRECT(ADDRESS(expenses_min_row, COLUMN()) &amp; ":" &amp; ADDRESS(expenses_max_row,COLUMN())))</f>
        <v>0</v>
      </c>
      <c r="AG41" s="16" cm="1">
        <f t="array" aca="1" ref="AG41" ca="1">SUM(INDIRECT(ADDRESS(expenses_min_row, COLUMN()) &amp; ":" &amp; ADDRESS(expenses_max_row,COLUMN())))</f>
        <v>10</v>
      </c>
      <c r="AH41" s="16" cm="1">
        <f t="array" aca="1" ref="AH41" ca="1">SUM(INDIRECT(ADDRESS(expenses_min_row, COLUMN()) &amp; ":" &amp; ADDRESS(expenses_max_row,COLUMN())))</f>
        <v>10</v>
      </c>
      <c r="AI41" s="16" cm="1">
        <f t="array" aca="1" ref="AI41" ca="1">SUM(INDIRECT(ADDRESS(expenses_min_row, COLUMN()) &amp; ":" &amp; ADDRESS(expenses_max_row,COLUMN())))</f>
        <v>10</v>
      </c>
      <c r="AJ41" s="16" cm="1">
        <f t="array" aca="1" ref="AJ41" ca="1">SUM(INDIRECT(ADDRESS(expenses_min_row, COLUMN()) &amp; ":" &amp; ADDRESS(expenses_max_row,COLUMN())))</f>
        <v>10</v>
      </c>
      <c r="AK41" s="16" cm="1">
        <f t="array" aca="1" ref="AK41" ca="1">SUM(INDIRECT(ADDRESS(expenses_min_row, COLUMN()) &amp; ":" &amp; ADDRESS(expenses_max_row,COLUMN())))</f>
        <v>10</v>
      </c>
      <c r="AL41" s="16" cm="1">
        <f t="array" aca="1" ref="AL41" ca="1">SUM(INDIRECT(ADDRESS(expenses_min_row, COLUMN()) &amp; ":" &amp; ADDRESS(expenses_max_row,COLUMN())))</f>
        <v>10</v>
      </c>
      <c r="AM41" s="16" cm="1">
        <f t="array" aca="1" ref="AM41" ca="1">SUM(INDIRECT(ADDRESS(expenses_min_row, COLUMN()) &amp; ":" &amp; ADDRESS(expenses_max_row,COLUMN())))</f>
        <v>10</v>
      </c>
      <c r="AN41" s="16" cm="1">
        <f t="array" aca="1" ref="AN41" ca="1">SUM(INDIRECT(ADDRESS(expenses_min_row, COLUMN()) &amp; ":" &amp; ADDRESS(expenses_max_row,COLUMN())))</f>
        <v>10</v>
      </c>
      <c r="AO41" s="16" cm="1">
        <f t="array" aca="1" ref="AO41" ca="1">SUM(INDIRECT(ADDRESS(expenses_min_row, COLUMN()) &amp; ":" &amp; ADDRESS(expenses_max_row,COLUMN())))</f>
        <v>10</v>
      </c>
      <c r="AP41" s="16" cm="1">
        <f t="array" aca="1" ref="AP41" ca="1">SUM(INDIRECT(ADDRESS(expenses_min_row, COLUMN()) &amp; ":" &amp; ADDRESS(expenses_max_row,COLUMN())))</f>
        <v>10</v>
      </c>
      <c r="AQ41" s="16" cm="1">
        <f t="array" aca="1" ref="AQ41" ca="1">SUM(INDIRECT(ADDRESS(expenses_min_row, COLUMN()) &amp; ":" &amp; ADDRESS(expenses_max_row,COLUMN())))</f>
        <v>10</v>
      </c>
      <c r="AR41" s="16" cm="1">
        <f t="array" aca="1" ref="AR41" ca="1">SUM(INDIRECT(ADDRESS(expenses_min_row, COLUMN()) &amp; ":" &amp; ADDRESS(expenses_max_row,COLUMN())))</f>
        <v>10</v>
      </c>
      <c r="AS41" s="16" cm="1">
        <f t="array" aca="1" ref="AS41" ca="1">SUM(INDIRECT(ADDRESS(expenses_min_row, COLUMN()) &amp; ":" &amp; ADDRESS(expenses_max_row,COLUMN())))</f>
        <v>0</v>
      </c>
      <c r="AU41" s="16" cm="1">
        <f t="array" aca="1" ref="AU41" ca="1">SUM(INDIRECT(ADDRESS(expenses_min_row, COLUMN()) &amp; ":" &amp; ADDRESS(expenses_max_row,COLUMN())))</f>
        <v>10</v>
      </c>
      <c r="AV41" s="16" cm="1">
        <f t="array" aca="1" ref="AV41" ca="1">SUM(INDIRECT(ADDRESS(expenses_min_row, COLUMN()) &amp; ":" &amp; ADDRESS(expenses_max_row,COLUMN())))</f>
        <v>10</v>
      </c>
      <c r="AW41" s="16" cm="1">
        <f t="array" aca="1" ref="AW41" ca="1">SUM(INDIRECT(ADDRESS(expenses_min_row, COLUMN()) &amp; ":" &amp; ADDRESS(expenses_max_row,COLUMN())))</f>
        <v>10</v>
      </c>
      <c r="AX41" s="16" cm="1">
        <f t="array" aca="1" ref="AX41" ca="1">SUM(INDIRECT(ADDRESS(expenses_min_row, COLUMN()) &amp; ":" &amp; ADDRESS(expenses_max_row,COLUMN())))</f>
        <v>10</v>
      </c>
      <c r="AY41" s="16" cm="1">
        <f t="array" aca="1" ref="AY41" ca="1">SUM(INDIRECT(ADDRESS(expenses_min_row, COLUMN()) &amp; ":" &amp; ADDRESS(expenses_max_row,COLUMN())))</f>
        <v>10</v>
      </c>
      <c r="AZ41" s="16" cm="1">
        <f t="array" aca="1" ref="AZ41" ca="1">SUM(INDIRECT(ADDRESS(expenses_min_row, COLUMN()) &amp; ":" &amp; ADDRESS(expenses_max_row,COLUMN())))</f>
        <v>10</v>
      </c>
      <c r="BA41" s="16" cm="1">
        <f t="array" aca="1" ref="BA41" ca="1">SUM(INDIRECT(ADDRESS(expenses_min_row, COLUMN()) &amp; ":" &amp; ADDRESS(expenses_max_row,COLUMN())))</f>
        <v>10</v>
      </c>
      <c r="BB41" s="16" cm="1">
        <f t="array" aca="1" ref="BB41" ca="1">SUM(INDIRECT(ADDRESS(expenses_min_row, COLUMN()) &amp; ":" &amp; ADDRESS(expenses_max_row,COLUMN())))</f>
        <v>10</v>
      </c>
      <c r="BC41" s="16" cm="1">
        <f t="array" aca="1" ref="BC41" ca="1">SUM(INDIRECT(ADDRESS(expenses_min_row, COLUMN()) &amp; ":" &amp; ADDRESS(expenses_max_row,COLUMN())))</f>
        <v>10</v>
      </c>
      <c r="BD41" s="16" cm="1">
        <f t="array" aca="1" ref="BD41" ca="1">SUM(INDIRECT(ADDRESS(expenses_min_row, COLUMN()) &amp; ":" &amp; ADDRESS(expenses_max_row,COLUMN())))</f>
        <v>10</v>
      </c>
      <c r="BE41" s="16" cm="1">
        <f t="array" aca="1" ref="BE41" ca="1">SUM(INDIRECT(ADDRESS(expenses_min_row, COLUMN()) &amp; ":" &amp; ADDRESS(expenses_max_row,COLUMN())))</f>
        <v>10</v>
      </c>
      <c r="BF41" s="16" cm="1">
        <f t="array" aca="1" ref="BF41" ca="1">SUM(INDIRECT(ADDRESS(expenses_min_row, COLUMN()) &amp; ":" &amp; ADDRESS(expenses_max_row,COLUMN())))</f>
        <v>10</v>
      </c>
      <c r="BG41" s="16" cm="1">
        <f t="array" aca="1" ref="BG41" ca="1">SUM(INDIRECT(ADDRESS(expenses_min_row, COLUMN()) &amp; ":" &amp; ADDRESS(expenses_max_row,COLUMN())))</f>
        <v>0</v>
      </c>
      <c r="BI41" s="16" cm="1">
        <f t="array" aca="1" ref="BI41" ca="1">SUM(INDIRECT(ADDRESS(expenses_min_row, COLUMN()) &amp; ":" &amp; ADDRESS(expenses_max_row,COLUMN())))</f>
        <v>10</v>
      </c>
      <c r="BJ41" s="16" cm="1">
        <f t="array" aca="1" ref="BJ41" ca="1">SUM(INDIRECT(ADDRESS(expenses_min_row, COLUMN()) &amp; ":" &amp; ADDRESS(expenses_max_row,COLUMN())))</f>
        <v>10</v>
      </c>
      <c r="BK41" s="16" cm="1">
        <f t="array" aca="1" ref="BK41" ca="1">SUM(INDIRECT(ADDRESS(expenses_min_row, COLUMN()) &amp; ":" &amp; ADDRESS(expenses_max_row,COLUMN())))</f>
        <v>10</v>
      </c>
      <c r="BL41" s="16" cm="1">
        <f t="array" aca="1" ref="BL41" ca="1">SUM(INDIRECT(ADDRESS(expenses_min_row, COLUMN()) &amp; ":" &amp; ADDRESS(expenses_max_row,COLUMN())))</f>
        <v>10</v>
      </c>
      <c r="BM41" s="16" cm="1">
        <f t="array" aca="1" ref="BM41" ca="1">SUM(INDIRECT(ADDRESS(expenses_min_row, COLUMN()) &amp; ":" &amp; ADDRESS(expenses_max_row,COLUMN())))</f>
        <v>10</v>
      </c>
      <c r="BN41" s="16" cm="1">
        <f t="array" aca="1" ref="BN41" ca="1">SUM(INDIRECT(ADDRESS(expenses_min_row, COLUMN()) &amp; ":" &amp; ADDRESS(expenses_max_row,COLUMN())))</f>
        <v>10</v>
      </c>
      <c r="BO41" s="16" cm="1">
        <f t="array" aca="1" ref="BO41" ca="1">SUM(INDIRECT(ADDRESS(expenses_min_row, COLUMN()) &amp; ":" &amp; ADDRESS(expenses_max_row,COLUMN())))</f>
        <v>10</v>
      </c>
      <c r="BP41" s="16" cm="1">
        <f t="array" aca="1" ref="BP41" ca="1">SUM(INDIRECT(ADDRESS(expenses_min_row, COLUMN()) &amp; ":" &amp; ADDRESS(expenses_max_row,COLUMN())))</f>
        <v>10</v>
      </c>
      <c r="BQ41" s="16" cm="1">
        <f t="array" aca="1" ref="BQ41" ca="1">SUM(INDIRECT(ADDRESS(expenses_min_row, COLUMN()) &amp; ":" &amp; ADDRESS(expenses_max_row,COLUMN())))</f>
        <v>10</v>
      </c>
      <c r="BR41" s="16" cm="1">
        <f t="array" aca="1" ref="BR41" ca="1">SUM(INDIRECT(ADDRESS(expenses_min_row, COLUMN()) &amp; ":" &amp; ADDRESS(expenses_max_row,COLUMN())))</f>
        <v>10</v>
      </c>
      <c r="BS41" s="16" cm="1">
        <f t="array" aca="1" ref="BS41" ca="1">SUM(INDIRECT(ADDRESS(expenses_min_row, COLUMN()) &amp; ":" &amp; ADDRESS(expenses_max_row,COLUMN())))</f>
        <v>10</v>
      </c>
      <c r="BT41" s="16" cm="1">
        <f t="array" aca="1" ref="BT41" ca="1">SUM(INDIRECT(ADDRESS(expenses_min_row, COLUMN()) &amp; ":" &amp; ADDRESS(expenses_max_row,COLUMN())))</f>
        <v>10</v>
      </c>
      <c r="BU41" s="16" cm="1">
        <f t="array" aca="1" ref="BU41" ca="1">SUM(INDIRECT(ADDRESS(expenses_min_row, COLUMN()) &amp; ":" &amp; ADDRESS(expenses_max_row,COLUMN())))</f>
        <v>0</v>
      </c>
      <c r="BW41" s="16" cm="1">
        <f t="array" aca="1" ref="BW41" ca="1">SUM(INDIRECT(ADDRESS(expenses_min_row, COLUMN()) &amp; ":" &amp; ADDRESS(expenses_max_row,COLUMN())))</f>
        <v>10</v>
      </c>
      <c r="BX41" s="16" cm="1">
        <f t="array" aca="1" ref="BX41" ca="1">SUM(INDIRECT(ADDRESS(expenses_min_row, COLUMN()) &amp; ":" &amp; ADDRESS(expenses_max_row,COLUMN())))</f>
        <v>10</v>
      </c>
      <c r="BY41" s="16" cm="1">
        <f t="array" aca="1" ref="BY41" ca="1">SUM(INDIRECT(ADDRESS(expenses_min_row, COLUMN()) &amp; ":" &amp; ADDRESS(expenses_max_row,COLUMN())))</f>
        <v>10</v>
      </c>
      <c r="BZ41" s="16" cm="1">
        <f t="array" aca="1" ref="BZ41" ca="1">SUM(INDIRECT(ADDRESS(expenses_min_row, COLUMN()) &amp; ":" &amp; ADDRESS(expenses_max_row,COLUMN())))</f>
        <v>10</v>
      </c>
      <c r="CA41" s="16" cm="1">
        <f t="array" aca="1" ref="CA41" ca="1">SUM(INDIRECT(ADDRESS(expenses_min_row, COLUMN()) &amp; ":" &amp; ADDRESS(expenses_max_row,COLUMN())))</f>
        <v>10</v>
      </c>
      <c r="CB41" s="16" cm="1">
        <f t="array" aca="1" ref="CB41" ca="1">SUM(INDIRECT(ADDRESS(expenses_min_row, COLUMN()) &amp; ":" &amp; ADDRESS(expenses_max_row,COLUMN())))</f>
        <v>10</v>
      </c>
      <c r="CC41" s="16" cm="1">
        <f t="array" aca="1" ref="CC41" ca="1">SUM(INDIRECT(ADDRESS(expenses_min_row, COLUMN()) &amp; ":" &amp; ADDRESS(expenses_max_row,COLUMN())))</f>
        <v>10</v>
      </c>
      <c r="CD41" s="16" cm="1">
        <f t="array" aca="1" ref="CD41" ca="1">SUM(INDIRECT(ADDRESS(expenses_min_row, COLUMN()) &amp; ":" &amp; ADDRESS(expenses_max_row,COLUMN())))</f>
        <v>10</v>
      </c>
      <c r="CE41" s="16" cm="1">
        <f t="array" aca="1" ref="CE41" ca="1">SUM(INDIRECT(ADDRESS(expenses_min_row, COLUMN()) &amp; ":" &amp; ADDRESS(expenses_max_row,COLUMN())))</f>
        <v>10</v>
      </c>
      <c r="CF41" s="16" cm="1">
        <f t="array" aca="1" ref="CF41" ca="1">SUM(INDIRECT(ADDRESS(expenses_min_row, COLUMN()) &amp; ":" &amp; ADDRESS(expenses_max_row,COLUMN())))</f>
        <v>10</v>
      </c>
      <c r="CG41" s="16" cm="1">
        <f t="array" aca="1" ref="CG41" ca="1">SUM(INDIRECT(ADDRESS(expenses_min_row, COLUMN()) &amp; ":" &amp; ADDRESS(expenses_max_row,COLUMN())))</f>
        <v>10</v>
      </c>
      <c r="CH41" s="16" cm="1">
        <f t="array" aca="1" ref="CH41" ca="1">SUM(INDIRECT(ADDRESS(expenses_min_row, COLUMN()) &amp; ":" &amp; ADDRESS(expenses_max_row,COLUMN())))</f>
        <v>10</v>
      </c>
      <c r="CI41" s="16" cm="1">
        <f t="array" aca="1" ref="CI41" ca="1">SUM(INDIRECT(ADDRESS(expenses_min_row, COLUMN()) &amp; ":" &amp; ADDRESS(expenses_max_row,COLUMN())))</f>
        <v>0</v>
      </c>
      <c r="CK41" s="16" cm="1">
        <f t="array" aca="1" ref="CK41" ca="1">SUM(INDIRECT(ADDRESS(expenses_min_row, COLUMN()) &amp; ":" &amp; ADDRESS(expenses_max_row,COLUMN())))</f>
        <v>10</v>
      </c>
      <c r="CL41" s="16" cm="1">
        <f t="array" aca="1" ref="CL41" ca="1">SUM(INDIRECT(ADDRESS(expenses_min_row, COLUMN()) &amp; ":" &amp; ADDRESS(expenses_max_row,COLUMN())))</f>
        <v>10</v>
      </c>
      <c r="CM41" s="16" cm="1">
        <f t="array" aca="1" ref="CM41" ca="1">SUM(INDIRECT(ADDRESS(expenses_min_row, COLUMN()) &amp; ":" &amp; ADDRESS(expenses_max_row,COLUMN())))</f>
        <v>10</v>
      </c>
      <c r="CN41" s="16" cm="1">
        <f t="array" aca="1" ref="CN41" ca="1">SUM(INDIRECT(ADDRESS(expenses_min_row, COLUMN()) &amp; ":" &amp; ADDRESS(expenses_max_row,COLUMN())))</f>
        <v>10</v>
      </c>
      <c r="CO41" s="16" cm="1">
        <f t="array" aca="1" ref="CO41" ca="1">SUM(INDIRECT(ADDRESS(expenses_min_row, COLUMN()) &amp; ":" &amp; ADDRESS(expenses_max_row,COLUMN())))</f>
        <v>10</v>
      </c>
      <c r="CP41" s="16" cm="1">
        <f t="array" aca="1" ref="CP41" ca="1">SUM(INDIRECT(ADDRESS(expenses_min_row, COLUMN()) &amp; ":" &amp; ADDRESS(expenses_max_row,COLUMN())))</f>
        <v>10</v>
      </c>
      <c r="CQ41" s="16" cm="1">
        <f t="array" aca="1" ref="CQ41" ca="1">SUM(INDIRECT(ADDRESS(expenses_min_row, COLUMN()) &amp; ":" &amp; ADDRESS(expenses_max_row,COLUMN())))</f>
        <v>10</v>
      </c>
      <c r="CR41" s="16" cm="1">
        <f t="array" aca="1" ref="CR41" ca="1">SUM(INDIRECT(ADDRESS(expenses_min_row, COLUMN()) &amp; ":" &amp; ADDRESS(expenses_max_row,COLUMN())))</f>
        <v>10</v>
      </c>
      <c r="CS41" s="16" cm="1">
        <f t="array" aca="1" ref="CS41" ca="1">SUM(INDIRECT(ADDRESS(expenses_min_row, COLUMN()) &amp; ":" &amp; ADDRESS(expenses_max_row,COLUMN())))</f>
        <v>10</v>
      </c>
      <c r="CT41" s="16" cm="1">
        <f t="array" aca="1" ref="CT41" ca="1">SUM(INDIRECT(ADDRESS(expenses_min_row, COLUMN()) &amp; ":" &amp; ADDRESS(expenses_max_row,COLUMN())))</f>
        <v>10</v>
      </c>
      <c r="CU41" s="16" cm="1">
        <f t="array" aca="1" ref="CU41" ca="1">SUM(INDIRECT(ADDRESS(expenses_min_row, COLUMN()) &amp; ":" &amp; ADDRESS(expenses_max_row,COLUMN())))</f>
        <v>10</v>
      </c>
      <c r="CV41" s="16" cm="1">
        <f t="array" aca="1" ref="CV41" ca="1">SUM(INDIRECT(ADDRESS(expenses_min_row, COLUMN()) &amp; ":" &amp; ADDRESS(expenses_max_row,COLUMN())))</f>
        <v>10</v>
      </c>
      <c r="CW41" s="16" cm="1">
        <f t="array" aca="1" ref="CW41" ca="1">SUM(INDIRECT(ADDRESS(expenses_min_row, COLUMN()) &amp; ":" &amp; ADDRESS(expenses_max_row,COLUMN())))</f>
        <v>0</v>
      </c>
      <c r="CY41" s="16" cm="1">
        <f t="array" aca="1" ref="CY41" ca="1">SUM(INDIRECT(ADDRESS(expenses_min_row, COLUMN()) &amp; ":" &amp; ADDRESS(expenses_max_row,COLUMN())))</f>
        <v>10</v>
      </c>
      <c r="CZ41" s="16" cm="1">
        <f t="array" aca="1" ref="CZ41" ca="1">SUM(INDIRECT(ADDRESS(expenses_min_row, COLUMN()) &amp; ":" &amp; ADDRESS(expenses_max_row,COLUMN())))</f>
        <v>10</v>
      </c>
      <c r="DA41" s="16" cm="1">
        <f t="array" aca="1" ref="DA41" ca="1">SUM(INDIRECT(ADDRESS(expenses_min_row, COLUMN()) &amp; ":" &amp; ADDRESS(expenses_max_row,COLUMN())))</f>
        <v>10</v>
      </c>
      <c r="DB41" s="16" cm="1">
        <f t="array" aca="1" ref="DB41" ca="1">SUM(INDIRECT(ADDRESS(expenses_min_row, COLUMN()) &amp; ":" &amp; ADDRESS(expenses_max_row,COLUMN())))</f>
        <v>10</v>
      </c>
      <c r="DC41" s="16" cm="1">
        <f t="array" aca="1" ref="DC41" ca="1">SUM(INDIRECT(ADDRESS(expenses_min_row, COLUMN()) &amp; ":" &amp; ADDRESS(expenses_max_row,COLUMN())))</f>
        <v>10</v>
      </c>
      <c r="DD41" s="16" cm="1">
        <f t="array" aca="1" ref="DD41" ca="1">SUM(INDIRECT(ADDRESS(expenses_min_row, COLUMN()) &amp; ":" &amp; ADDRESS(expenses_max_row,COLUMN())))</f>
        <v>10</v>
      </c>
      <c r="DE41" s="16" cm="1">
        <f t="array" aca="1" ref="DE41" ca="1">SUM(INDIRECT(ADDRESS(expenses_min_row, COLUMN()) &amp; ":" &amp; ADDRESS(expenses_max_row,COLUMN())))</f>
        <v>10</v>
      </c>
      <c r="DF41" s="16" cm="1">
        <f t="array" aca="1" ref="DF41" ca="1">SUM(INDIRECT(ADDRESS(expenses_min_row, COLUMN()) &amp; ":" &amp; ADDRESS(expenses_max_row,COLUMN())))</f>
        <v>10</v>
      </c>
      <c r="DG41" s="16" cm="1">
        <f t="array" aca="1" ref="DG41" ca="1">SUM(INDIRECT(ADDRESS(expenses_min_row, COLUMN()) &amp; ":" &amp; ADDRESS(expenses_max_row,COLUMN())))</f>
        <v>10</v>
      </c>
      <c r="DH41" s="16" cm="1">
        <f t="array" aca="1" ref="DH41" ca="1">SUM(INDIRECT(ADDRESS(expenses_min_row, COLUMN()) &amp; ":" &amp; ADDRESS(expenses_max_row,COLUMN())))</f>
        <v>10</v>
      </c>
      <c r="DI41" s="16" cm="1">
        <f t="array" aca="1" ref="DI41" ca="1">SUM(INDIRECT(ADDRESS(expenses_min_row, COLUMN()) &amp; ":" &amp; ADDRESS(expenses_max_row,COLUMN())))</f>
        <v>10</v>
      </c>
      <c r="DJ41" s="16" cm="1">
        <f t="array" aca="1" ref="DJ41" ca="1">SUM(INDIRECT(ADDRESS(expenses_min_row, COLUMN()) &amp; ":" &amp; ADDRESS(expenses_max_row,COLUMN())))</f>
        <v>10</v>
      </c>
      <c r="DK41" s="16" cm="1">
        <f t="array" aca="1" ref="DK41" ca="1">SUM(INDIRECT(ADDRESS(expenses_min_row, COLUMN()) &amp; ":" &amp; ADDRESS(expenses_max_row,COLUMN())))</f>
        <v>0</v>
      </c>
      <c r="DM41" s="16" cm="1">
        <f t="array" aca="1" ref="DM41" ca="1">SUM(INDIRECT(ADDRESS(expenses_min_row, COLUMN()) &amp; ":" &amp; ADDRESS(expenses_max_row,COLUMN())))</f>
        <v>10</v>
      </c>
      <c r="DN41" s="16" cm="1">
        <f t="array" aca="1" ref="DN41" ca="1">SUM(INDIRECT(ADDRESS(expenses_min_row, COLUMN()) &amp; ":" &amp; ADDRESS(expenses_max_row,COLUMN())))</f>
        <v>10</v>
      </c>
      <c r="DO41" s="16" cm="1">
        <f t="array" aca="1" ref="DO41" ca="1">SUM(INDIRECT(ADDRESS(expenses_min_row, COLUMN()) &amp; ":" &amp; ADDRESS(expenses_max_row,COLUMN())))</f>
        <v>10</v>
      </c>
      <c r="DP41" s="16" cm="1">
        <f t="array" aca="1" ref="DP41" ca="1">SUM(INDIRECT(ADDRESS(expenses_min_row, COLUMN()) &amp; ":" &amp; ADDRESS(expenses_max_row,COLUMN())))</f>
        <v>10</v>
      </c>
      <c r="DQ41" s="16" cm="1">
        <f t="array" aca="1" ref="DQ41" ca="1">SUM(INDIRECT(ADDRESS(expenses_min_row, COLUMN()) &amp; ":" &amp; ADDRESS(expenses_max_row,COLUMN())))</f>
        <v>10</v>
      </c>
      <c r="DR41" s="16" cm="1">
        <f t="array" aca="1" ref="DR41" ca="1">SUM(INDIRECT(ADDRESS(expenses_min_row, COLUMN()) &amp; ":" &amp; ADDRESS(expenses_max_row,COLUMN())))</f>
        <v>10</v>
      </c>
      <c r="DS41" s="16" cm="1">
        <f t="array" aca="1" ref="DS41" ca="1">SUM(INDIRECT(ADDRESS(expenses_min_row, COLUMN()) &amp; ":" &amp; ADDRESS(expenses_max_row,COLUMN())))</f>
        <v>10</v>
      </c>
      <c r="DT41" s="16" cm="1">
        <f t="array" aca="1" ref="DT41" ca="1">SUM(INDIRECT(ADDRESS(expenses_min_row, COLUMN()) &amp; ":" &amp; ADDRESS(expenses_max_row,COLUMN())))</f>
        <v>10</v>
      </c>
      <c r="DU41" s="16" cm="1">
        <f t="array" aca="1" ref="DU41" ca="1">SUM(INDIRECT(ADDRESS(expenses_min_row, COLUMN()) &amp; ":" &amp; ADDRESS(expenses_max_row,COLUMN())))</f>
        <v>10</v>
      </c>
      <c r="DV41" s="16" cm="1">
        <f t="array" aca="1" ref="DV41" ca="1">SUM(INDIRECT(ADDRESS(expenses_min_row, COLUMN()) &amp; ":" &amp; ADDRESS(expenses_max_row,COLUMN())))</f>
        <v>10</v>
      </c>
      <c r="DW41" s="16" cm="1">
        <f t="array" aca="1" ref="DW41" ca="1">SUM(INDIRECT(ADDRESS(expenses_min_row, COLUMN()) &amp; ":" &amp; ADDRESS(expenses_max_row,COLUMN())))</f>
        <v>10</v>
      </c>
      <c r="DX41" s="16" cm="1">
        <f t="array" aca="1" ref="DX41" ca="1">SUM(INDIRECT(ADDRESS(expenses_min_row, COLUMN()) &amp; ":" &amp; ADDRESS(expenses_max_row,COLUMN())))</f>
        <v>10</v>
      </c>
      <c r="DY41" s="16" cm="1">
        <f t="array" aca="1" ref="DY41" ca="1">SUM(INDIRECT(ADDRESS(expenses_min_row, COLUMN()) &amp; ":" &amp; ADDRESS(expenses_max_row,COLUMN())))</f>
        <v>0</v>
      </c>
    </row>
    <row r="42" spans="3:129" x14ac:dyDescent="0.3">
      <c r="C42" s="31"/>
      <c r="D42" s="31"/>
      <c r="E42" s="31"/>
      <c r="F42" s="31"/>
      <c r="G42" s="31"/>
      <c r="H42" s="31"/>
      <c r="I42" s="31"/>
      <c r="J42" s="31"/>
      <c r="K42" s="31"/>
      <c r="L42" s="31"/>
      <c r="M42" s="31"/>
      <c r="N42" s="31"/>
      <c r="O42" s="31"/>
      <c r="P42" s="31"/>
      <c r="Q42" s="31"/>
    </row>
    <row r="43" spans="3:129" x14ac:dyDescent="0.3">
      <c r="C43" s="31"/>
      <c r="D43" s="31"/>
      <c r="E43" s="31"/>
      <c r="F43" s="31"/>
      <c r="G43" s="31"/>
      <c r="H43" s="31"/>
      <c r="I43" s="31"/>
      <c r="J43" s="31"/>
      <c r="K43" s="31"/>
      <c r="L43" s="31"/>
      <c r="M43" s="31"/>
      <c r="N43" s="31"/>
      <c r="O43" s="31"/>
      <c r="P43" s="31"/>
      <c r="Q43" s="31"/>
    </row>
    <row r="44" spans="3:129" x14ac:dyDescent="0.3">
      <c r="C44" s="31"/>
      <c r="D44" s="31"/>
      <c r="E44" s="31"/>
      <c r="F44" s="31"/>
      <c r="G44" s="31"/>
      <c r="H44" s="31"/>
      <c r="I44" s="31"/>
      <c r="J44" s="31"/>
      <c r="K44" s="31"/>
      <c r="L44" s="31"/>
      <c r="M44" s="31"/>
      <c r="N44" s="31"/>
      <c r="O44" s="31"/>
      <c r="P44" s="31"/>
      <c r="Q44" s="31"/>
    </row>
    <row r="45" spans="3:129" ht="18" x14ac:dyDescent="0.35">
      <c r="C45" s="36" t="s">
        <v>13</v>
      </c>
      <c r="D45" s="31"/>
      <c r="E45" s="51">
        <f>DATE(E$5,1,1)</f>
        <v>45292</v>
      </c>
      <c r="F45" s="51">
        <f>DATE(E$5,2,1)</f>
        <v>45323</v>
      </c>
      <c r="G45" s="51">
        <f>DATE(E$5,3,1)</f>
        <v>45352</v>
      </c>
      <c r="H45" s="51">
        <f>DATE(E$5,4,1)</f>
        <v>45383</v>
      </c>
      <c r="I45" s="51">
        <f>DATE(E$5,5,1)</f>
        <v>45413</v>
      </c>
      <c r="J45" s="51">
        <f>DATE(E$5,6,1)</f>
        <v>45444</v>
      </c>
      <c r="K45" s="51">
        <f>DATE(E$5,7,1)</f>
        <v>45474</v>
      </c>
      <c r="L45" s="51">
        <f>DATE(E$5,8,1)</f>
        <v>45505</v>
      </c>
      <c r="M45" s="51">
        <f>DATE(E$5,9,1)</f>
        <v>45536</v>
      </c>
      <c r="N45" s="51">
        <f>DATE(E$5,10,1)</f>
        <v>45566</v>
      </c>
      <c r="O45" s="51">
        <f>DATE(E$5,11,1)</f>
        <v>45597</v>
      </c>
      <c r="P45" s="51">
        <f>DATE(E$5,12,1)</f>
        <v>45627</v>
      </c>
      <c r="Q45" s="52">
        <f>E$5</f>
        <v>2024</v>
      </c>
      <c r="S45" s="19">
        <f>DATE(S$5,1,1)</f>
        <v>45658</v>
      </c>
      <c r="T45" s="19">
        <f>DATE(S$5,2,1)</f>
        <v>45689</v>
      </c>
      <c r="U45" s="19">
        <f>DATE(S$5,3,1)</f>
        <v>45717</v>
      </c>
      <c r="V45" s="19">
        <f>DATE(S$5,4,1)</f>
        <v>45748</v>
      </c>
      <c r="W45" s="19">
        <f>DATE(S$5,5,1)</f>
        <v>45778</v>
      </c>
      <c r="X45" s="19">
        <f>DATE(S$5,6,1)</f>
        <v>45809</v>
      </c>
      <c r="Y45" s="19">
        <f>DATE(S$5,7,1)</f>
        <v>45839</v>
      </c>
      <c r="Z45" s="19">
        <f>DATE(S$5,8,1)</f>
        <v>45870</v>
      </c>
      <c r="AA45" s="19">
        <f>DATE(S$5,9,1)</f>
        <v>45901</v>
      </c>
      <c r="AB45" s="19">
        <f>DATE(S$5,10,1)</f>
        <v>45931</v>
      </c>
      <c r="AC45" s="19">
        <f>DATE(S$5,11,1)</f>
        <v>45962</v>
      </c>
      <c r="AD45" s="19">
        <f>DATE(S$5,12,1)</f>
        <v>45992</v>
      </c>
      <c r="AE45" s="20">
        <f>S$5</f>
        <v>2025</v>
      </c>
      <c r="AG45" s="19">
        <f t="shared" ref="AG45" si="330">DATE(AG$5,1,1)</f>
        <v>46023</v>
      </c>
      <c r="AH45" s="19">
        <f t="shared" ref="AH45" si="331">DATE(AG$5,2,1)</f>
        <v>46054</v>
      </c>
      <c r="AI45" s="19">
        <f t="shared" ref="AI45" si="332">DATE(AG$5,3,1)</f>
        <v>46082</v>
      </c>
      <c r="AJ45" s="19">
        <f t="shared" ref="AJ45" si="333">DATE(AG$5,4,1)</f>
        <v>46113</v>
      </c>
      <c r="AK45" s="19">
        <f t="shared" ref="AK45" si="334">DATE(AG$5,5,1)</f>
        <v>46143</v>
      </c>
      <c r="AL45" s="19">
        <f t="shared" ref="AL45" si="335">DATE(AG$5,6,1)</f>
        <v>46174</v>
      </c>
      <c r="AM45" s="19">
        <f t="shared" ref="AM45" si="336">DATE(AG$5,7,1)</f>
        <v>46204</v>
      </c>
      <c r="AN45" s="19">
        <f t="shared" ref="AN45" si="337">DATE(AG$5,8,1)</f>
        <v>46235</v>
      </c>
      <c r="AO45" s="19">
        <f t="shared" ref="AO45" si="338">DATE(AG$5,9,1)</f>
        <v>46266</v>
      </c>
      <c r="AP45" s="19">
        <f t="shared" ref="AP45" si="339">DATE(AG$5,10,1)</f>
        <v>46296</v>
      </c>
      <c r="AQ45" s="19">
        <f t="shared" ref="AQ45" si="340">DATE(AG$5,11,1)</f>
        <v>46327</v>
      </c>
      <c r="AR45" s="19">
        <f t="shared" ref="AR45" si="341">DATE(AG$5,12,1)</f>
        <v>46357</v>
      </c>
      <c r="AS45" s="20">
        <f t="shared" ref="AS45" si="342">AG$5</f>
        <v>2026</v>
      </c>
      <c r="AU45" s="19">
        <f t="shared" ref="AU45" si="343">DATE(AU$5,1,1)</f>
        <v>46388</v>
      </c>
      <c r="AV45" s="19">
        <f t="shared" ref="AV45" si="344">DATE(AU$5,2,1)</f>
        <v>46419</v>
      </c>
      <c r="AW45" s="19">
        <f t="shared" ref="AW45" si="345">DATE(AU$5,3,1)</f>
        <v>46447</v>
      </c>
      <c r="AX45" s="19">
        <f t="shared" ref="AX45" si="346">DATE(AU$5,4,1)</f>
        <v>46478</v>
      </c>
      <c r="AY45" s="19">
        <f t="shared" ref="AY45" si="347">DATE(AU$5,5,1)</f>
        <v>46508</v>
      </c>
      <c r="AZ45" s="19">
        <f t="shared" ref="AZ45" si="348">DATE(AU$5,6,1)</f>
        <v>46539</v>
      </c>
      <c r="BA45" s="19">
        <f t="shared" ref="BA45" si="349">DATE(AU$5,7,1)</f>
        <v>46569</v>
      </c>
      <c r="BB45" s="19">
        <f t="shared" ref="BB45" si="350">DATE(AU$5,8,1)</f>
        <v>46600</v>
      </c>
      <c r="BC45" s="19">
        <f t="shared" ref="BC45" si="351">DATE(AU$5,9,1)</f>
        <v>46631</v>
      </c>
      <c r="BD45" s="19">
        <f t="shared" ref="BD45" si="352">DATE(AU$5,10,1)</f>
        <v>46661</v>
      </c>
      <c r="BE45" s="19">
        <f t="shared" ref="BE45" si="353">DATE(AU$5,11,1)</f>
        <v>46692</v>
      </c>
      <c r="BF45" s="19">
        <f t="shared" ref="BF45" si="354">DATE(AU$5,12,1)</f>
        <v>46722</v>
      </c>
      <c r="BG45" s="20">
        <f t="shared" ref="BG45" si="355">AU$5</f>
        <v>2027</v>
      </c>
      <c r="BI45" s="19">
        <f t="shared" ref="BI45" si="356">DATE(BI$5,1,1)</f>
        <v>46753</v>
      </c>
      <c r="BJ45" s="19">
        <f t="shared" ref="BJ45" si="357">DATE(BI$5,2,1)</f>
        <v>46784</v>
      </c>
      <c r="BK45" s="19">
        <f t="shared" ref="BK45" si="358">DATE(BI$5,3,1)</f>
        <v>46813</v>
      </c>
      <c r="BL45" s="19">
        <f t="shared" ref="BL45" si="359">DATE(BI$5,4,1)</f>
        <v>46844</v>
      </c>
      <c r="BM45" s="19">
        <f t="shared" ref="BM45" si="360">DATE(BI$5,5,1)</f>
        <v>46874</v>
      </c>
      <c r="BN45" s="19">
        <f t="shared" ref="BN45" si="361">DATE(BI$5,6,1)</f>
        <v>46905</v>
      </c>
      <c r="BO45" s="19">
        <f t="shared" ref="BO45" si="362">DATE(BI$5,7,1)</f>
        <v>46935</v>
      </c>
      <c r="BP45" s="19">
        <f t="shared" ref="BP45" si="363">DATE(BI$5,8,1)</f>
        <v>46966</v>
      </c>
      <c r="BQ45" s="19">
        <f t="shared" ref="BQ45" si="364">DATE(BI$5,9,1)</f>
        <v>46997</v>
      </c>
      <c r="BR45" s="19">
        <f t="shared" ref="BR45" si="365">DATE(BI$5,10,1)</f>
        <v>47027</v>
      </c>
      <c r="BS45" s="19">
        <f t="shared" ref="BS45" si="366">DATE(BI$5,11,1)</f>
        <v>47058</v>
      </c>
      <c r="BT45" s="19">
        <f t="shared" ref="BT45" si="367">DATE(BI$5,12,1)</f>
        <v>47088</v>
      </c>
      <c r="BU45" s="20">
        <f t="shared" ref="BU45" si="368">BI$5</f>
        <v>2028</v>
      </c>
      <c r="BW45" s="19">
        <f t="shared" ref="BW45" si="369">DATE(BW$5,1,1)</f>
        <v>47119</v>
      </c>
      <c r="BX45" s="19">
        <f t="shared" ref="BX45" si="370">DATE(BW$5,2,1)</f>
        <v>47150</v>
      </c>
      <c r="BY45" s="19">
        <f t="shared" ref="BY45" si="371">DATE(BW$5,3,1)</f>
        <v>47178</v>
      </c>
      <c r="BZ45" s="19">
        <f t="shared" ref="BZ45" si="372">DATE(BW$5,4,1)</f>
        <v>47209</v>
      </c>
      <c r="CA45" s="19">
        <f t="shared" ref="CA45" si="373">DATE(BW$5,5,1)</f>
        <v>47239</v>
      </c>
      <c r="CB45" s="19">
        <f t="shared" ref="CB45" si="374">DATE(BW$5,6,1)</f>
        <v>47270</v>
      </c>
      <c r="CC45" s="19">
        <f t="shared" ref="CC45" si="375">DATE(BW$5,7,1)</f>
        <v>47300</v>
      </c>
      <c r="CD45" s="19">
        <f t="shared" ref="CD45" si="376">DATE(BW$5,8,1)</f>
        <v>47331</v>
      </c>
      <c r="CE45" s="19">
        <f t="shared" ref="CE45" si="377">DATE(BW$5,9,1)</f>
        <v>47362</v>
      </c>
      <c r="CF45" s="19">
        <f t="shared" ref="CF45" si="378">DATE(BW$5,10,1)</f>
        <v>47392</v>
      </c>
      <c r="CG45" s="19">
        <f t="shared" ref="CG45" si="379">DATE(BW$5,11,1)</f>
        <v>47423</v>
      </c>
      <c r="CH45" s="19">
        <f t="shared" ref="CH45" si="380">DATE(BW$5,12,1)</f>
        <v>47453</v>
      </c>
      <c r="CI45" s="20">
        <f t="shared" ref="CI45" si="381">BW$5</f>
        <v>2029</v>
      </c>
      <c r="CK45" s="19">
        <f t="shared" ref="CK45" si="382">DATE(CK$5,1,1)</f>
        <v>47484</v>
      </c>
      <c r="CL45" s="19">
        <f t="shared" ref="CL45" si="383">DATE(CK$5,2,1)</f>
        <v>47515</v>
      </c>
      <c r="CM45" s="19">
        <f t="shared" ref="CM45" si="384">DATE(CK$5,3,1)</f>
        <v>47543</v>
      </c>
      <c r="CN45" s="19">
        <f t="shared" ref="CN45" si="385">DATE(CK$5,4,1)</f>
        <v>47574</v>
      </c>
      <c r="CO45" s="19">
        <f t="shared" ref="CO45" si="386">DATE(CK$5,5,1)</f>
        <v>47604</v>
      </c>
      <c r="CP45" s="19">
        <f t="shared" ref="CP45" si="387">DATE(CK$5,6,1)</f>
        <v>47635</v>
      </c>
      <c r="CQ45" s="19">
        <f t="shared" ref="CQ45" si="388">DATE(CK$5,7,1)</f>
        <v>47665</v>
      </c>
      <c r="CR45" s="19">
        <f t="shared" ref="CR45" si="389">DATE(CK$5,8,1)</f>
        <v>47696</v>
      </c>
      <c r="CS45" s="19">
        <f t="shared" ref="CS45" si="390">DATE(CK$5,9,1)</f>
        <v>47727</v>
      </c>
      <c r="CT45" s="19">
        <f t="shared" ref="CT45" si="391">DATE(CK$5,10,1)</f>
        <v>47757</v>
      </c>
      <c r="CU45" s="19">
        <f t="shared" ref="CU45" si="392">DATE(CK$5,11,1)</f>
        <v>47788</v>
      </c>
      <c r="CV45" s="19">
        <f t="shared" ref="CV45" si="393">DATE(CK$5,12,1)</f>
        <v>47818</v>
      </c>
      <c r="CW45" s="20">
        <f t="shared" ref="CW45" si="394">CK$5</f>
        <v>2030</v>
      </c>
      <c r="CY45" s="19">
        <f t="shared" ref="CY45" si="395">DATE(CY$5,1,1)</f>
        <v>47849</v>
      </c>
      <c r="CZ45" s="19">
        <f t="shared" ref="CZ45" si="396">DATE(CY$5,2,1)</f>
        <v>47880</v>
      </c>
      <c r="DA45" s="19">
        <f t="shared" ref="DA45" si="397">DATE(CY$5,3,1)</f>
        <v>47908</v>
      </c>
      <c r="DB45" s="19">
        <f t="shared" ref="DB45" si="398">DATE(CY$5,4,1)</f>
        <v>47939</v>
      </c>
      <c r="DC45" s="19">
        <f t="shared" ref="DC45" si="399">DATE(CY$5,5,1)</f>
        <v>47969</v>
      </c>
      <c r="DD45" s="19">
        <f t="shared" ref="DD45" si="400">DATE(CY$5,6,1)</f>
        <v>48000</v>
      </c>
      <c r="DE45" s="19">
        <f t="shared" ref="DE45" si="401">DATE(CY$5,7,1)</f>
        <v>48030</v>
      </c>
      <c r="DF45" s="19">
        <f t="shared" ref="DF45" si="402">DATE(CY$5,8,1)</f>
        <v>48061</v>
      </c>
      <c r="DG45" s="19">
        <f t="shared" ref="DG45" si="403">DATE(CY$5,9,1)</f>
        <v>48092</v>
      </c>
      <c r="DH45" s="19">
        <f t="shared" ref="DH45" si="404">DATE(CY$5,10,1)</f>
        <v>48122</v>
      </c>
      <c r="DI45" s="19">
        <f t="shared" ref="DI45" si="405">DATE(CY$5,11,1)</f>
        <v>48153</v>
      </c>
      <c r="DJ45" s="19">
        <f t="shared" ref="DJ45" si="406">DATE(CY$5,12,1)</f>
        <v>48183</v>
      </c>
      <c r="DK45" s="20">
        <f t="shared" ref="DK45" si="407">CY$5</f>
        <v>2031</v>
      </c>
      <c r="DM45" s="19">
        <f t="shared" ref="DM45" si="408">DATE(DM$5,1,1)</f>
        <v>48214</v>
      </c>
      <c r="DN45" s="19">
        <f t="shared" ref="DN45" si="409">DATE(DM$5,2,1)</f>
        <v>48245</v>
      </c>
      <c r="DO45" s="19">
        <f t="shared" ref="DO45" si="410">DATE(DM$5,3,1)</f>
        <v>48274</v>
      </c>
      <c r="DP45" s="19">
        <f t="shared" ref="DP45" si="411">DATE(DM$5,4,1)</f>
        <v>48305</v>
      </c>
      <c r="DQ45" s="19">
        <f t="shared" ref="DQ45" si="412">DATE(DM$5,5,1)</f>
        <v>48335</v>
      </c>
      <c r="DR45" s="19">
        <f t="shared" ref="DR45" si="413">DATE(DM$5,6,1)</f>
        <v>48366</v>
      </c>
      <c r="DS45" s="19">
        <f t="shared" ref="DS45" si="414">DATE(DM$5,7,1)</f>
        <v>48396</v>
      </c>
      <c r="DT45" s="19">
        <f t="shared" ref="DT45" si="415">DATE(DM$5,8,1)</f>
        <v>48427</v>
      </c>
      <c r="DU45" s="19">
        <f t="shared" ref="DU45" si="416">DATE(DM$5,9,1)</f>
        <v>48458</v>
      </c>
      <c r="DV45" s="19">
        <f t="shared" ref="DV45" si="417">DATE(DM$5,10,1)</f>
        <v>48488</v>
      </c>
      <c r="DW45" s="19">
        <f t="shared" ref="DW45" si="418">DATE(DM$5,11,1)</f>
        <v>48519</v>
      </c>
      <c r="DX45" s="19">
        <f t="shared" ref="DX45" si="419">DATE(DM$5,12,1)</f>
        <v>48549</v>
      </c>
      <c r="DY45" s="20">
        <f t="shared" ref="DY45" si="420">DM$5</f>
        <v>2032</v>
      </c>
    </row>
    <row r="46" spans="3:129" x14ac:dyDescent="0.3">
      <c r="C46" s="39" t="s">
        <v>18</v>
      </c>
      <c r="D46" s="31"/>
      <c r="E46" s="40">
        <v>1500</v>
      </c>
      <c r="F46" s="40">
        <v>1500</v>
      </c>
      <c r="G46" s="40">
        <v>1500</v>
      </c>
      <c r="H46" s="40">
        <v>500</v>
      </c>
      <c r="I46" s="40">
        <v>500</v>
      </c>
      <c r="J46" s="40">
        <v>600</v>
      </c>
      <c r="K46" s="40">
        <v>500</v>
      </c>
      <c r="L46" s="40">
        <v>500</v>
      </c>
      <c r="M46" s="40">
        <v>500</v>
      </c>
      <c r="N46" s="40">
        <v>500</v>
      </c>
      <c r="O46" s="40">
        <v>500</v>
      </c>
      <c r="P46" s="40">
        <v>500</v>
      </c>
      <c r="Q46" s="40">
        <f>SUM(E46:P46)</f>
        <v>9100</v>
      </c>
      <c r="S46" s="15"/>
      <c r="T46" s="15"/>
      <c r="U46" s="15"/>
      <c r="V46" s="15"/>
      <c r="W46" s="15"/>
      <c r="X46" s="15"/>
      <c r="Y46" s="15"/>
      <c r="Z46" s="15"/>
      <c r="AA46" s="15"/>
      <c r="AB46" s="15"/>
      <c r="AC46" s="15"/>
      <c r="AD46" s="15"/>
      <c r="AE46" s="15">
        <f>SUM(S46:AD46)</f>
        <v>0</v>
      </c>
      <c r="AG46" s="15"/>
      <c r="AH46" s="15"/>
      <c r="AI46" s="15"/>
      <c r="AJ46" s="15"/>
      <c r="AK46" s="15"/>
      <c r="AL46" s="15"/>
      <c r="AM46" s="15"/>
      <c r="AN46" s="15"/>
      <c r="AO46" s="15"/>
      <c r="AP46" s="15"/>
      <c r="AQ46" s="15"/>
      <c r="AR46" s="15"/>
      <c r="AS46" s="15">
        <f t="shared" ref="AS46" si="421">SUM(AG46:AR46)</f>
        <v>0</v>
      </c>
      <c r="AU46" s="15"/>
      <c r="AV46" s="15"/>
      <c r="AW46" s="15"/>
      <c r="AX46" s="15"/>
      <c r="AY46" s="15"/>
      <c r="AZ46" s="15"/>
      <c r="BA46" s="15"/>
      <c r="BB46" s="15"/>
      <c r="BC46" s="15"/>
      <c r="BD46" s="15"/>
      <c r="BE46" s="15"/>
      <c r="BF46" s="15"/>
      <c r="BG46" s="15">
        <f t="shared" ref="BG46" si="422">SUM(AU46:BF46)</f>
        <v>0</v>
      </c>
      <c r="BI46" s="15"/>
      <c r="BJ46" s="15"/>
      <c r="BK46" s="15"/>
      <c r="BL46" s="15"/>
      <c r="BM46" s="15"/>
      <c r="BN46" s="15"/>
      <c r="BO46" s="15"/>
      <c r="BP46" s="15"/>
      <c r="BQ46" s="15"/>
      <c r="BR46" s="15"/>
      <c r="BS46" s="15"/>
      <c r="BT46" s="15"/>
      <c r="BU46" s="15">
        <f t="shared" ref="BU46" si="423">SUM(BI46:BT46)</f>
        <v>0</v>
      </c>
      <c r="BW46" s="15"/>
      <c r="BX46" s="15"/>
      <c r="BY46" s="15"/>
      <c r="BZ46" s="15"/>
      <c r="CA46" s="15"/>
      <c r="CB46" s="15"/>
      <c r="CC46" s="15"/>
      <c r="CD46" s="15"/>
      <c r="CE46" s="15"/>
      <c r="CF46" s="15"/>
      <c r="CG46" s="15"/>
      <c r="CH46" s="15"/>
      <c r="CI46" s="15">
        <f t="shared" ref="CI46" si="424">SUM(BW46:CH46)</f>
        <v>0</v>
      </c>
      <c r="CK46" s="15"/>
      <c r="CL46" s="15"/>
      <c r="CM46" s="15"/>
      <c r="CN46" s="15"/>
      <c r="CO46" s="15"/>
      <c r="CP46" s="15"/>
      <c r="CQ46" s="15"/>
      <c r="CR46" s="15"/>
      <c r="CS46" s="15"/>
      <c r="CT46" s="15"/>
      <c r="CU46" s="15"/>
      <c r="CV46" s="15"/>
      <c r="CW46" s="15">
        <f t="shared" ref="CW46" si="425">SUM(CK46:CV46)</f>
        <v>0</v>
      </c>
      <c r="CY46" s="15"/>
      <c r="CZ46" s="15"/>
      <c r="DA46" s="15"/>
      <c r="DB46" s="15"/>
      <c r="DC46" s="15"/>
      <c r="DD46" s="15"/>
      <c r="DE46" s="15"/>
      <c r="DF46" s="15"/>
      <c r="DG46" s="15"/>
      <c r="DH46" s="15"/>
      <c r="DI46" s="15"/>
      <c r="DJ46" s="15"/>
      <c r="DK46" s="15">
        <f t="shared" ref="DK46" si="426">SUM(CY46:DJ46)</f>
        <v>0</v>
      </c>
      <c r="DM46" s="15"/>
      <c r="DN46" s="15"/>
      <c r="DO46" s="15"/>
      <c r="DP46" s="15"/>
      <c r="DQ46" s="15"/>
      <c r="DR46" s="15"/>
      <c r="DS46" s="15"/>
      <c r="DT46" s="15"/>
      <c r="DU46" s="15"/>
      <c r="DV46" s="15"/>
      <c r="DW46" s="15"/>
      <c r="DX46" s="15"/>
      <c r="DY46" s="15">
        <f t="shared" ref="DY46" si="427">SUM(DM46:DX46)</f>
        <v>0</v>
      </c>
    </row>
    <row r="47" spans="3:129" x14ac:dyDescent="0.3">
      <c r="C47" s="39" t="s">
        <v>14</v>
      </c>
      <c r="D47" s="31"/>
      <c r="E47" s="40"/>
      <c r="F47" s="40"/>
      <c r="G47" s="40"/>
      <c r="H47" s="40"/>
      <c r="I47" s="40"/>
      <c r="J47" s="40"/>
      <c r="K47" s="40"/>
      <c r="L47" s="40"/>
      <c r="M47" s="40"/>
      <c r="N47" s="40"/>
      <c r="O47" s="40"/>
      <c r="P47" s="40"/>
      <c r="Q47" s="40">
        <f t="shared" ref="Q47:Q57" si="428">SUM(E47:P47)</f>
        <v>0</v>
      </c>
      <c r="S47" s="15"/>
      <c r="T47" s="15"/>
      <c r="U47" s="15"/>
      <c r="V47" s="15"/>
      <c r="W47" s="15"/>
      <c r="X47" s="15"/>
      <c r="Y47" s="15"/>
      <c r="Z47" s="15"/>
      <c r="AA47" s="15"/>
      <c r="AB47" s="15"/>
      <c r="AC47" s="15"/>
      <c r="AD47" s="15"/>
      <c r="AE47" s="15">
        <f t="shared" ref="AE47:AE49" si="429">SUM(S47:AD47)</f>
        <v>0</v>
      </c>
      <c r="AG47" s="15"/>
      <c r="AH47" s="15"/>
      <c r="AI47" s="15"/>
      <c r="AJ47" s="15"/>
      <c r="AK47" s="15"/>
      <c r="AL47" s="15"/>
      <c r="AM47" s="15"/>
      <c r="AN47" s="15"/>
      <c r="AO47" s="15"/>
      <c r="AP47" s="15"/>
      <c r="AQ47" s="15"/>
      <c r="AR47" s="15"/>
      <c r="AS47" s="15">
        <f t="shared" ref="AS47:AS49" si="430">SUM(AG47:AR47)</f>
        <v>0</v>
      </c>
      <c r="AU47" s="15"/>
      <c r="AV47" s="15"/>
      <c r="AW47" s="15"/>
      <c r="AX47" s="15"/>
      <c r="AY47" s="15"/>
      <c r="AZ47" s="15"/>
      <c r="BA47" s="15"/>
      <c r="BB47" s="15"/>
      <c r="BC47" s="15"/>
      <c r="BD47" s="15"/>
      <c r="BE47" s="15"/>
      <c r="BF47" s="15"/>
      <c r="BG47" s="15">
        <f t="shared" ref="BG47:BG49" si="431">SUM(AU47:BF47)</f>
        <v>0</v>
      </c>
      <c r="BI47" s="15"/>
      <c r="BJ47" s="15"/>
      <c r="BK47" s="15"/>
      <c r="BL47" s="15"/>
      <c r="BM47" s="15"/>
      <c r="BN47" s="15"/>
      <c r="BO47" s="15"/>
      <c r="BP47" s="15"/>
      <c r="BQ47" s="15"/>
      <c r="BR47" s="15"/>
      <c r="BS47" s="15"/>
      <c r="BT47" s="15"/>
      <c r="BU47" s="15">
        <f t="shared" ref="BU47:BU49" si="432">SUM(BI47:BT47)</f>
        <v>0</v>
      </c>
      <c r="BW47" s="15"/>
      <c r="BX47" s="15"/>
      <c r="BY47" s="15"/>
      <c r="BZ47" s="15"/>
      <c r="CA47" s="15"/>
      <c r="CB47" s="15"/>
      <c r="CC47" s="15"/>
      <c r="CD47" s="15"/>
      <c r="CE47" s="15"/>
      <c r="CF47" s="15"/>
      <c r="CG47" s="15"/>
      <c r="CH47" s="15"/>
      <c r="CI47" s="15">
        <f t="shared" ref="CI47:CI49" si="433">SUM(BW47:CH47)</f>
        <v>0</v>
      </c>
      <c r="CK47" s="15"/>
      <c r="CL47" s="15"/>
      <c r="CM47" s="15"/>
      <c r="CN47" s="15"/>
      <c r="CO47" s="15"/>
      <c r="CP47" s="15"/>
      <c r="CQ47" s="15"/>
      <c r="CR47" s="15"/>
      <c r="CS47" s="15"/>
      <c r="CT47" s="15"/>
      <c r="CU47" s="15"/>
      <c r="CV47" s="15"/>
      <c r="CW47" s="15">
        <f t="shared" ref="CW47:CW49" si="434">SUM(CK47:CV47)</f>
        <v>0</v>
      </c>
      <c r="CY47" s="15"/>
      <c r="CZ47" s="15"/>
      <c r="DA47" s="15"/>
      <c r="DB47" s="15"/>
      <c r="DC47" s="15"/>
      <c r="DD47" s="15"/>
      <c r="DE47" s="15"/>
      <c r="DF47" s="15"/>
      <c r="DG47" s="15"/>
      <c r="DH47" s="15"/>
      <c r="DI47" s="15"/>
      <c r="DJ47" s="15"/>
      <c r="DK47" s="15">
        <f t="shared" ref="DK47:DK49" si="435">SUM(CY47:DJ47)</f>
        <v>0</v>
      </c>
      <c r="DM47" s="15"/>
      <c r="DN47" s="15"/>
      <c r="DO47" s="15"/>
      <c r="DP47" s="15"/>
      <c r="DQ47" s="15"/>
      <c r="DR47" s="15"/>
      <c r="DS47" s="15"/>
      <c r="DT47" s="15"/>
      <c r="DU47" s="15"/>
      <c r="DV47" s="15"/>
      <c r="DW47" s="15"/>
      <c r="DX47" s="15"/>
      <c r="DY47" s="15">
        <f t="shared" ref="DY47:DY49" si="436">SUM(DM47:DX47)</f>
        <v>0</v>
      </c>
    </row>
    <row r="48" spans="3:129" x14ac:dyDescent="0.3">
      <c r="C48" s="39" t="s">
        <v>72</v>
      </c>
      <c r="D48" s="31"/>
      <c r="E48" s="40"/>
      <c r="F48" s="40"/>
      <c r="G48" s="40"/>
      <c r="H48" s="40"/>
      <c r="I48" s="40"/>
      <c r="J48" s="40"/>
      <c r="K48" s="40"/>
      <c r="L48" s="40"/>
      <c r="M48" s="40"/>
      <c r="N48" s="40"/>
      <c r="O48" s="40"/>
      <c r="P48" s="40"/>
      <c r="Q48" s="40">
        <f t="shared" si="428"/>
        <v>0</v>
      </c>
      <c r="S48" s="15"/>
      <c r="T48" s="15"/>
      <c r="U48" s="15"/>
      <c r="V48" s="15"/>
      <c r="W48" s="15"/>
      <c r="X48" s="15"/>
      <c r="Y48" s="15"/>
      <c r="Z48" s="15"/>
      <c r="AA48" s="15"/>
      <c r="AB48" s="15"/>
      <c r="AC48" s="15"/>
      <c r="AD48" s="15"/>
      <c r="AE48" s="15">
        <f t="shared" si="429"/>
        <v>0</v>
      </c>
      <c r="AG48" s="15"/>
      <c r="AH48" s="15"/>
      <c r="AI48" s="15"/>
      <c r="AJ48" s="15"/>
      <c r="AK48" s="15"/>
      <c r="AL48" s="15"/>
      <c r="AM48" s="15"/>
      <c r="AN48" s="15"/>
      <c r="AO48" s="15"/>
      <c r="AP48" s="15"/>
      <c r="AQ48" s="15"/>
      <c r="AR48" s="15"/>
      <c r="AS48" s="15">
        <f t="shared" si="430"/>
        <v>0</v>
      </c>
      <c r="AU48" s="15"/>
      <c r="AV48" s="15"/>
      <c r="AW48" s="15"/>
      <c r="AX48" s="15"/>
      <c r="AY48" s="15"/>
      <c r="AZ48" s="15"/>
      <c r="BA48" s="15"/>
      <c r="BB48" s="15"/>
      <c r="BC48" s="15"/>
      <c r="BD48" s="15"/>
      <c r="BE48" s="15"/>
      <c r="BF48" s="15"/>
      <c r="BG48" s="15">
        <f t="shared" si="431"/>
        <v>0</v>
      </c>
      <c r="BI48" s="15"/>
      <c r="BJ48" s="15"/>
      <c r="BK48" s="15"/>
      <c r="BL48" s="15"/>
      <c r="BM48" s="15"/>
      <c r="BN48" s="15"/>
      <c r="BO48" s="15"/>
      <c r="BP48" s="15"/>
      <c r="BQ48" s="15"/>
      <c r="BR48" s="15"/>
      <c r="BS48" s="15"/>
      <c r="BT48" s="15"/>
      <c r="BU48" s="15">
        <f t="shared" si="432"/>
        <v>0</v>
      </c>
      <c r="BW48" s="15"/>
      <c r="BX48" s="15"/>
      <c r="BY48" s="15"/>
      <c r="BZ48" s="15"/>
      <c r="CA48" s="15"/>
      <c r="CB48" s="15"/>
      <c r="CC48" s="15"/>
      <c r="CD48" s="15"/>
      <c r="CE48" s="15"/>
      <c r="CF48" s="15"/>
      <c r="CG48" s="15"/>
      <c r="CH48" s="15"/>
      <c r="CI48" s="15">
        <f t="shared" si="433"/>
        <v>0</v>
      </c>
      <c r="CK48" s="15"/>
      <c r="CL48" s="15"/>
      <c r="CM48" s="15"/>
      <c r="CN48" s="15"/>
      <c r="CO48" s="15"/>
      <c r="CP48" s="15"/>
      <c r="CQ48" s="15"/>
      <c r="CR48" s="15"/>
      <c r="CS48" s="15"/>
      <c r="CT48" s="15"/>
      <c r="CU48" s="15"/>
      <c r="CV48" s="15"/>
      <c r="CW48" s="15">
        <f t="shared" si="434"/>
        <v>0</v>
      </c>
      <c r="CY48" s="15"/>
      <c r="CZ48" s="15"/>
      <c r="DA48" s="15"/>
      <c r="DB48" s="15"/>
      <c r="DC48" s="15"/>
      <c r="DD48" s="15"/>
      <c r="DE48" s="15"/>
      <c r="DF48" s="15"/>
      <c r="DG48" s="15"/>
      <c r="DH48" s="15"/>
      <c r="DI48" s="15"/>
      <c r="DJ48" s="15"/>
      <c r="DK48" s="15">
        <f t="shared" si="435"/>
        <v>0</v>
      </c>
      <c r="DM48" s="15"/>
      <c r="DN48" s="15"/>
      <c r="DO48" s="15"/>
      <c r="DP48" s="15"/>
      <c r="DQ48" s="15"/>
      <c r="DR48" s="15"/>
      <c r="DS48" s="15"/>
      <c r="DT48" s="15"/>
      <c r="DU48" s="15"/>
      <c r="DV48" s="15"/>
      <c r="DW48" s="15"/>
      <c r="DX48" s="15"/>
      <c r="DY48" s="15">
        <f t="shared" si="436"/>
        <v>0</v>
      </c>
    </row>
    <row r="49" spans="3:129" x14ac:dyDescent="0.3">
      <c r="C49" s="49" t="s">
        <v>15</v>
      </c>
      <c r="D49" s="31"/>
      <c r="E49" s="40"/>
      <c r="F49" s="40"/>
      <c r="G49" s="40"/>
      <c r="H49" s="40"/>
      <c r="I49" s="40"/>
      <c r="J49" s="40"/>
      <c r="K49" s="40"/>
      <c r="L49" s="40"/>
      <c r="M49" s="40"/>
      <c r="N49" s="40"/>
      <c r="O49" s="40"/>
      <c r="P49" s="40"/>
      <c r="Q49" s="40">
        <f t="shared" si="428"/>
        <v>0</v>
      </c>
      <c r="S49" s="15"/>
      <c r="T49" s="15"/>
      <c r="U49" s="15"/>
      <c r="V49" s="15"/>
      <c r="W49" s="15"/>
      <c r="X49" s="15"/>
      <c r="Y49" s="15"/>
      <c r="Z49" s="15"/>
      <c r="AA49" s="15"/>
      <c r="AB49" s="15"/>
      <c r="AC49" s="15"/>
      <c r="AD49" s="15"/>
      <c r="AE49" s="15">
        <f t="shared" si="429"/>
        <v>0</v>
      </c>
      <c r="AG49" s="15"/>
      <c r="AH49" s="15"/>
      <c r="AI49" s="15"/>
      <c r="AJ49" s="15"/>
      <c r="AK49" s="15"/>
      <c r="AL49" s="15"/>
      <c r="AM49" s="15"/>
      <c r="AN49" s="15"/>
      <c r="AO49" s="15"/>
      <c r="AP49" s="15"/>
      <c r="AQ49" s="15"/>
      <c r="AR49" s="15"/>
      <c r="AS49" s="15">
        <f t="shared" si="430"/>
        <v>0</v>
      </c>
      <c r="AU49" s="15"/>
      <c r="AV49" s="15"/>
      <c r="AW49" s="15"/>
      <c r="AX49" s="15"/>
      <c r="AY49" s="15"/>
      <c r="AZ49" s="15"/>
      <c r="BA49" s="15"/>
      <c r="BB49" s="15"/>
      <c r="BC49" s="15"/>
      <c r="BD49" s="15"/>
      <c r="BE49" s="15"/>
      <c r="BF49" s="15"/>
      <c r="BG49" s="15">
        <f t="shared" si="431"/>
        <v>0</v>
      </c>
      <c r="BI49" s="15"/>
      <c r="BJ49" s="15"/>
      <c r="BK49" s="15"/>
      <c r="BL49" s="15"/>
      <c r="BM49" s="15"/>
      <c r="BN49" s="15"/>
      <c r="BO49" s="15"/>
      <c r="BP49" s="15"/>
      <c r="BQ49" s="15"/>
      <c r="BR49" s="15"/>
      <c r="BS49" s="15"/>
      <c r="BT49" s="15"/>
      <c r="BU49" s="15">
        <f t="shared" si="432"/>
        <v>0</v>
      </c>
      <c r="BW49" s="15"/>
      <c r="BX49" s="15"/>
      <c r="BY49" s="15"/>
      <c r="BZ49" s="15"/>
      <c r="CA49" s="15"/>
      <c r="CB49" s="15"/>
      <c r="CC49" s="15"/>
      <c r="CD49" s="15"/>
      <c r="CE49" s="15"/>
      <c r="CF49" s="15"/>
      <c r="CG49" s="15"/>
      <c r="CH49" s="15"/>
      <c r="CI49" s="15">
        <f t="shared" si="433"/>
        <v>0</v>
      </c>
      <c r="CK49" s="15"/>
      <c r="CL49" s="15"/>
      <c r="CM49" s="15"/>
      <c r="CN49" s="15"/>
      <c r="CO49" s="15"/>
      <c r="CP49" s="15"/>
      <c r="CQ49" s="15"/>
      <c r="CR49" s="15"/>
      <c r="CS49" s="15"/>
      <c r="CT49" s="15"/>
      <c r="CU49" s="15"/>
      <c r="CV49" s="15"/>
      <c r="CW49" s="15">
        <f t="shared" si="434"/>
        <v>0</v>
      </c>
      <c r="CY49" s="15"/>
      <c r="CZ49" s="15"/>
      <c r="DA49" s="15"/>
      <c r="DB49" s="15"/>
      <c r="DC49" s="15"/>
      <c r="DD49" s="15"/>
      <c r="DE49" s="15"/>
      <c r="DF49" s="15"/>
      <c r="DG49" s="15"/>
      <c r="DH49" s="15"/>
      <c r="DI49" s="15"/>
      <c r="DJ49" s="15"/>
      <c r="DK49" s="15">
        <f t="shared" si="435"/>
        <v>0</v>
      </c>
      <c r="DM49" s="15"/>
      <c r="DN49" s="15"/>
      <c r="DO49" s="15"/>
      <c r="DP49" s="15"/>
      <c r="DQ49" s="15"/>
      <c r="DR49" s="15"/>
      <c r="DS49" s="15"/>
      <c r="DT49" s="15"/>
      <c r="DU49" s="15"/>
      <c r="DV49" s="15"/>
      <c r="DW49" s="15"/>
      <c r="DX49" s="15"/>
      <c r="DY49" s="15">
        <f t="shared" si="436"/>
        <v>0</v>
      </c>
    </row>
    <row r="50" spans="3:129" x14ac:dyDescent="0.3">
      <c r="C50" s="49" t="s">
        <v>15</v>
      </c>
      <c r="D50" s="31"/>
      <c r="E50" s="40"/>
      <c r="F50" s="40"/>
      <c r="G50" s="40"/>
      <c r="H50" s="40"/>
      <c r="I50" s="40"/>
      <c r="J50" s="40"/>
      <c r="K50" s="40"/>
      <c r="L50" s="40"/>
      <c r="M50" s="40"/>
      <c r="N50" s="40"/>
      <c r="O50" s="40"/>
      <c r="P50" s="40"/>
      <c r="Q50" s="40"/>
      <c r="S50" s="15"/>
      <c r="T50" s="15"/>
      <c r="U50" s="15"/>
      <c r="V50" s="15"/>
      <c r="W50" s="15"/>
      <c r="X50" s="15"/>
      <c r="Y50" s="15"/>
      <c r="Z50" s="15"/>
      <c r="AA50" s="15"/>
      <c r="AB50" s="15"/>
      <c r="AC50" s="15"/>
      <c r="AD50" s="15"/>
      <c r="AE50" s="15"/>
      <c r="AG50" s="15"/>
      <c r="AH50" s="15"/>
      <c r="AI50" s="15"/>
      <c r="AJ50" s="15"/>
      <c r="AK50" s="15"/>
      <c r="AL50" s="15"/>
      <c r="AM50" s="15"/>
      <c r="AN50" s="15"/>
      <c r="AO50" s="15"/>
      <c r="AP50" s="15"/>
      <c r="AQ50" s="15"/>
      <c r="AR50" s="15"/>
      <c r="AS50" s="15"/>
      <c r="AU50" s="15"/>
      <c r="AV50" s="15"/>
      <c r="AW50" s="15"/>
      <c r="AX50" s="15"/>
      <c r="AY50" s="15"/>
      <c r="AZ50" s="15"/>
      <c r="BA50" s="15"/>
      <c r="BB50" s="15"/>
      <c r="BC50" s="15"/>
      <c r="BD50" s="15"/>
      <c r="BE50" s="15"/>
      <c r="BF50" s="15"/>
      <c r="BG50" s="15"/>
      <c r="BI50" s="15"/>
      <c r="BJ50" s="15"/>
      <c r="BK50" s="15"/>
      <c r="BL50" s="15"/>
      <c r="BM50" s="15"/>
      <c r="BN50" s="15"/>
      <c r="BO50" s="15"/>
      <c r="BP50" s="15"/>
      <c r="BQ50" s="15"/>
      <c r="BR50" s="15"/>
      <c r="BS50" s="15"/>
      <c r="BT50" s="15"/>
      <c r="BU50" s="15"/>
      <c r="BW50" s="15"/>
      <c r="BX50" s="15"/>
      <c r="BY50" s="15"/>
      <c r="BZ50" s="15"/>
      <c r="CA50" s="15"/>
      <c r="CB50" s="15"/>
      <c r="CC50" s="15"/>
      <c r="CD50" s="15"/>
      <c r="CE50" s="15"/>
      <c r="CF50" s="15"/>
      <c r="CG50" s="15"/>
      <c r="CH50" s="15"/>
      <c r="CI50" s="15"/>
      <c r="CK50" s="15"/>
      <c r="CL50" s="15"/>
      <c r="CM50" s="15"/>
      <c r="CN50" s="15"/>
      <c r="CO50" s="15"/>
      <c r="CP50" s="15"/>
      <c r="CQ50" s="15"/>
      <c r="CR50" s="15"/>
      <c r="CS50" s="15"/>
      <c r="CT50" s="15"/>
      <c r="CU50" s="15"/>
      <c r="CV50" s="15"/>
      <c r="CW50" s="15"/>
      <c r="CY50" s="15"/>
      <c r="CZ50" s="15"/>
      <c r="DA50" s="15"/>
      <c r="DB50" s="15"/>
      <c r="DC50" s="15"/>
      <c r="DD50" s="15"/>
      <c r="DE50" s="15"/>
      <c r="DF50" s="15"/>
      <c r="DG50" s="15"/>
      <c r="DH50" s="15"/>
      <c r="DI50" s="15"/>
      <c r="DJ50" s="15"/>
      <c r="DK50" s="15"/>
      <c r="DM50" s="15"/>
      <c r="DN50" s="15"/>
      <c r="DO50" s="15"/>
      <c r="DP50" s="15"/>
      <c r="DQ50" s="15"/>
      <c r="DR50" s="15"/>
      <c r="DS50" s="15"/>
      <c r="DT50" s="15"/>
      <c r="DU50" s="15"/>
      <c r="DV50" s="15"/>
      <c r="DW50" s="15"/>
      <c r="DX50" s="15"/>
      <c r="DY50" s="15"/>
    </row>
    <row r="51" spans="3:129" x14ac:dyDescent="0.3">
      <c r="C51" s="50" t="s">
        <v>79</v>
      </c>
      <c r="D51" s="31"/>
      <c r="E51" s="41">
        <v>10</v>
      </c>
      <c r="F51" s="41">
        <v>10</v>
      </c>
      <c r="G51" s="41">
        <v>10</v>
      </c>
      <c r="H51" s="41">
        <v>10</v>
      </c>
      <c r="I51" s="41">
        <v>10</v>
      </c>
      <c r="J51" s="41">
        <v>10</v>
      </c>
      <c r="K51" s="41">
        <v>10</v>
      </c>
      <c r="L51" s="41"/>
      <c r="M51" s="41"/>
      <c r="N51" s="41"/>
      <c r="O51" s="41"/>
      <c r="P51" s="41"/>
      <c r="Q51" s="40"/>
      <c r="S51" s="14">
        <v>10</v>
      </c>
      <c r="T51" s="14">
        <v>10</v>
      </c>
      <c r="U51" s="14">
        <v>10</v>
      </c>
      <c r="V51" s="14">
        <v>10</v>
      </c>
      <c r="W51" s="14">
        <v>10</v>
      </c>
      <c r="X51" s="14">
        <v>10</v>
      </c>
      <c r="Y51" s="14">
        <v>10</v>
      </c>
      <c r="Z51" s="14"/>
      <c r="AA51" s="14"/>
      <c r="AB51" s="14"/>
      <c r="AC51" s="14"/>
      <c r="AD51" s="14"/>
      <c r="AE51" s="15"/>
      <c r="AG51" s="14">
        <v>10</v>
      </c>
      <c r="AH51" s="14">
        <v>10</v>
      </c>
      <c r="AI51" s="14">
        <v>10</v>
      </c>
      <c r="AJ51" s="14">
        <v>10</v>
      </c>
      <c r="AK51" s="14">
        <v>10</v>
      </c>
      <c r="AL51" s="14">
        <v>10</v>
      </c>
      <c r="AM51" s="14">
        <v>10</v>
      </c>
      <c r="AN51" s="14"/>
      <c r="AO51" s="14"/>
      <c r="AP51" s="14"/>
      <c r="AQ51" s="14"/>
      <c r="AR51" s="14"/>
      <c r="AS51" s="15"/>
      <c r="AU51" s="14">
        <v>10</v>
      </c>
      <c r="AV51" s="14">
        <v>10</v>
      </c>
      <c r="AW51" s="14">
        <v>10</v>
      </c>
      <c r="AX51" s="14">
        <v>10</v>
      </c>
      <c r="AY51" s="14">
        <v>10</v>
      </c>
      <c r="AZ51" s="14">
        <v>10</v>
      </c>
      <c r="BA51" s="14">
        <v>10</v>
      </c>
      <c r="BB51" s="14"/>
      <c r="BC51" s="14"/>
      <c r="BD51" s="14"/>
      <c r="BE51" s="14"/>
      <c r="BF51" s="14"/>
      <c r="BG51" s="15"/>
      <c r="BI51" s="14">
        <v>10</v>
      </c>
      <c r="BJ51" s="14">
        <v>10</v>
      </c>
      <c r="BK51" s="14">
        <v>10</v>
      </c>
      <c r="BL51" s="14">
        <v>10</v>
      </c>
      <c r="BM51" s="14">
        <v>10</v>
      </c>
      <c r="BN51" s="14">
        <v>10</v>
      </c>
      <c r="BO51" s="14">
        <v>10</v>
      </c>
      <c r="BP51" s="14"/>
      <c r="BQ51" s="14"/>
      <c r="BR51" s="14"/>
      <c r="BS51" s="14"/>
      <c r="BT51" s="14"/>
      <c r="BU51" s="15"/>
      <c r="BW51" s="14">
        <v>10</v>
      </c>
      <c r="BX51" s="14">
        <v>10</v>
      </c>
      <c r="BY51" s="14">
        <v>10</v>
      </c>
      <c r="BZ51" s="14">
        <v>10</v>
      </c>
      <c r="CA51" s="14">
        <v>10</v>
      </c>
      <c r="CB51" s="14">
        <v>10</v>
      </c>
      <c r="CC51" s="14">
        <v>10</v>
      </c>
      <c r="CD51" s="14"/>
      <c r="CE51" s="14"/>
      <c r="CF51" s="14"/>
      <c r="CG51" s="14"/>
      <c r="CH51" s="14"/>
      <c r="CI51" s="15"/>
      <c r="CK51" s="14">
        <v>10</v>
      </c>
      <c r="CL51" s="14">
        <v>10</v>
      </c>
      <c r="CM51" s="14">
        <v>10</v>
      </c>
      <c r="CN51" s="14">
        <v>10</v>
      </c>
      <c r="CO51" s="14">
        <v>10</v>
      </c>
      <c r="CP51" s="14">
        <v>10</v>
      </c>
      <c r="CQ51" s="14">
        <v>10</v>
      </c>
      <c r="CR51" s="14"/>
      <c r="CS51" s="14"/>
      <c r="CT51" s="14"/>
      <c r="CU51" s="14"/>
      <c r="CV51" s="14"/>
      <c r="CW51" s="15"/>
      <c r="CY51" s="14">
        <v>10</v>
      </c>
      <c r="CZ51" s="14">
        <v>10</v>
      </c>
      <c r="DA51" s="14">
        <v>10</v>
      </c>
      <c r="DB51" s="14">
        <v>10</v>
      </c>
      <c r="DC51" s="14">
        <v>10</v>
      </c>
      <c r="DD51" s="14">
        <v>10</v>
      </c>
      <c r="DE51" s="14">
        <v>10</v>
      </c>
      <c r="DF51" s="14"/>
      <c r="DG51" s="14"/>
      <c r="DH51" s="14"/>
      <c r="DI51" s="14"/>
      <c r="DJ51" s="14"/>
      <c r="DK51" s="15"/>
      <c r="DM51" s="14">
        <v>10</v>
      </c>
      <c r="DN51" s="14">
        <v>10</v>
      </c>
      <c r="DO51" s="14">
        <v>10</v>
      </c>
      <c r="DP51" s="14">
        <v>10</v>
      </c>
      <c r="DQ51" s="14">
        <v>10</v>
      </c>
      <c r="DR51" s="14">
        <v>10</v>
      </c>
      <c r="DS51" s="14">
        <v>10</v>
      </c>
      <c r="DT51" s="14"/>
      <c r="DU51" s="14"/>
      <c r="DV51" s="14"/>
      <c r="DW51" s="14"/>
      <c r="DX51" s="14"/>
      <c r="DY51" s="15"/>
    </row>
    <row r="52" spans="3:129" x14ac:dyDescent="0.3">
      <c r="C52" s="42" t="s">
        <v>15</v>
      </c>
      <c r="D52" s="31"/>
      <c r="E52" s="41">
        <v>20</v>
      </c>
      <c r="F52" s="41"/>
      <c r="G52" s="41"/>
      <c r="H52" s="41"/>
      <c r="I52" s="41"/>
      <c r="J52" s="41"/>
      <c r="K52" s="41"/>
      <c r="L52" s="41"/>
      <c r="M52" s="41"/>
      <c r="N52" s="41"/>
      <c r="O52" s="41"/>
      <c r="P52" s="41"/>
      <c r="Q52" s="40"/>
      <c r="S52" s="14">
        <v>21</v>
      </c>
      <c r="T52" s="14"/>
      <c r="U52" s="14"/>
      <c r="V52" s="14"/>
      <c r="W52" s="14"/>
      <c r="X52" s="14"/>
      <c r="Y52" s="14"/>
      <c r="Z52" s="14"/>
      <c r="AA52" s="14"/>
      <c r="AB52" s="14"/>
      <c r="AC52" s="14"/>
      <c r="AD52" s="14"/>
      <c r="AE52" s="15"/>
      <c r="AG52" s="14">
        <v>22</v>
      </c>
      <c r="AH52" s="14"/>
      <c r="AI52" s="14"/>
      <c r="AJ52" s="14"/>
      <c r="AK52" s="14"/>
      <c r="AL52" s="14"/>
      <c r="AM52" s="14"/>
      <c r="AN52" s="14"/>
      <c r="AO52" s="14"/>
      <c r="AP52" s="14"/>
      <c r="AQ52" s="14"/>
      <c r="AR52" s="14"/>
      <c r="AS52" s="15"/>
      <c r="AU52" s="14">
        <v>23</v>
      </c>
      <c r="AV52" s="14"/>
      <c r="AW52" s="14"/>
      <c r="AX52" s="14"/>
      <c r="AY52" s="14"/>
      <c r="AZ52" s="14"/>
      <c r="BA52" s="14"/>
      <c r="BB52" s="14"/>
      <c r="BC52" s="14"/>
      <c r="BD52" s="14"/>
      <c r="BE52" s="14"/>
      <c r="BF52" s="14"/>
      <c r="BG52" s="15"/>
      <c r="BI52" s="14">
        <v>24</v>
      </c>
      <c r="BJ52" s="14"/>
      <c r="BK52" s="14"/>
      <c r="BL52" s="14"/>
      <c r="BM52" s="14"/>
      <c r="BN52" s="14"/>
      <c r="BO52" s="14"/>
      <c r="BP52" s="14"/>
      <c r="BQ52" s="14"/>
      <c r="BR52" s="14"/>
      <c r="BS52" s="14"/>
      <c r="BT52" s="14"/>
      <c r="BU52" s="15"/>
      <c r="BW52" s="14">
        <v>25</v>
      </c>
      <c r="BX52" s="14"/>
      <c r="BY52" s="14"/>
      <c r="BZ52" s="14"/>
      <c r="CA52" s="14"/>
      <c r="CB52" s="14"/>
      <c r="CC52" s="14"/>
      <c r="CD52" s="14"/>
      <c r="CE52" s="14"/>
      <c r="CF52" s="14"/>
      <c r="CG52" s="14"/>
      <c r="CH52" s="14"/>
      <c r="CI52" s="15"/>
      <c r="CK52" s="14">
        <v>26</v>
      </c>
      <c r="CL52" s="14"/>
      <c r="CM52" s="14"/>
      <c r="CN52" s="14"/>
      <c r="CO52" s="14"/>
      <c r="CP52" s="14"/>
      <c r="CQ52" s="14"/>
      <c r="CR52" s="14"/>
      <c r="CS52" s="14"/>
      <c r="CT52" s="14"/>
      <c r="CU52" s="14"/>
      <c r="CV52" s="14"/>
      <c r="CW52" s="15"/>
      <c r="CY52" s="14">
        <v>27</v>
      </c>
      <c r="CZ52" s="14"/>
      <c r="DA52" s="14"/>
      <c r="DB52" s="14"/>
      <c r="DC52" s="14"/>
      <c r="DD52" s="14"/>
      <c r="DE52" s="14"/>
      <c r="DF52" s="14"/>
      <c r="DG52" s="14"/>
      <c r="DH52" s="14"/>
      <c r="DI52" s="14"/>
      <c r="DJ52" s="14"/>
      <c r="DK52" s="15"/>
      <c r="DM52" s="14">
        <v>28</v>
      </c>
      <c r="DN52" s="14"/>
      <c r="DO52" s="14"/>
      <c r="DP52" s="14"/>
      <c r="DQ52" s="14"/>
      <c r="DR52" s="14"/>
      <c r="DS52" s="14"/>
      <c r="DT52" s="14"/>
      <c r="DU52" s="14"/>
      <c r="DV52" s="14"/>
      <c r="DW52" s="14"/>
      <c r="DX52" s="14"/>
      <c r="DY52" s="15"/>
    </row>
    <row r="53" spans="3:129" x14ac:dyDescent="0.3">
      <c r="C53" s="42" t="s">
        <v>15</v>
      </c>
      <c r="D53" s="31"/>
      <c r="E53" s="41"/>
      <c r="F53" s="41"/>
      <c r="G53" s="41"/>
      <c r="H53" s="41"/>
      <c r="I53" s="41"/>
      <c r="J53" s="41"/>
      <c r="K53" s="41"/>
      <c r="L53" s="41"/>
      <c r="M53" s="41"/>
      <c r="N53" s="41"/>
      <c r="O53" s="41"/>
      <c r="P53" s="41"/>
      <c r="Q53" s="40"/>
      <c r="S53" s="14"/>
      <c r="T53" s="14"/>
      <c r="U53" s="14"/>
      <c r="V53" s="14"/>
      <c r="W53" s="14"/>
      <c r="X53" s="14"/>
      <c r="Y53" s="14"/>
      <c r="Z53" s="14"/>
      <c r="AA53" s="14"/>
      <c r="AB53" s="14"/>
      <c r="AC53" s="14"/>
      <c r="AD53" s="14"/>
      <c r="AE53" s="15"/>
      <c r="AG53" s="14"/>
      <c r="AH53" s="14"/>
      <c r="AI53" s="14"/>
      <c r="AJ53" s="14"/>
      <c r="AK53" s="14"/>
      <c r="AL53" s="14"/>
      <c r="AM53" s="14"/>
      <c r="AN53" s="14"/>
      <c r="AO53" s="14"/>
      <c r="AP53" s="14"/>
      <c r="AQ53" s="14"/>
      <c r="AR53" s="14"/>
      <c r="AS53" s="15"/>
      <c r="AU53" s="14"/>
      <c r="AV53" s="14"/>
      <c r="AW53" s="14"/>
      <c r="AX53" s="14"/>
      <c r="AY53" s="14"/>
      <c r="AZ53" s="14"/>
      <c r="BA53" s="14"/>
      <c r="BB53" s="14"/>
      <c r="BC53" s="14"/>
      <c r="BD53" s="14"/>
      <c r="BE53" s="14"/>
      <c r="BF53" s="14"/>
      <c r="BG53" s="15"/>
      <c r="BI53" s="14"/>
      <c r="BJ53" s="14"/>
      <c r="BK53" s="14"/>
      <c r="BL53" s="14"/>
      <c r="BM53" s="14"/>
      <c r="BN53" s="14"/>
      <c r="BO53" s="14"/>
      <c r="BP53" s="14"/>
      <c r="BQ53" s="14"/>
      <c r="BR53" s="14"/>
      <c r="BS53" s="14"/>
      <c r="BT53" s="14"/>
      <c r="BU53" s="15"/>
      <c r="BW53" s="14"/>
      <c r="BX53" s="14"/>
      <c r="BY53" s="14"/>
      <c r="BZ53" s="14"/>
      <c r="CA53" s="14"/>
      <c r="CB53" s="14"/>
      <c r="CC53" s="14"/>
      <c r="CD53" s="14"/>
      <c r="CE53" s="14"/>
      <c r="CF53" s="14"/>
      <c r="CG53" s="14"/>
      <c r="CH53" s="14"/>
      <c r="CI53" s="15"/>
      <c r="CK53" s="14"/>
      <c r="CL53" s="14"/>
      <c r="CM53" s="14"/>
      <c r="CN53" s="14"/>
      <c r="CO53" s="14"/>
      <c r="CP53" s="14"/>
      <c r="CQ53" s="14"/>
      <c r="CR53" s="14"/>
      <c r="CS53" s="14"/>
      <c r="CT53" s="14"/>
      <c r="CU53" s="14"/>
      <c r="CV53" s="14"/>
      <c r="CW53" s="15"/>
      <c r="CY53" s="14"/>
      <c r="CZ53" s="14"/>
      <c r="DA53" s="14"/>
      <c r="DB53" s="14"/>
      <c r="DC53" s="14"/>
      <c r="DD53" s="14"/>
      <c r="DE53" s="14"/>
      <c r="DF53" s="14"/>
      <c r="DG53" s="14"/>
      <c r="DH53" s="14"/>
      <c r="DI53" s="14"/>
      <c r="DJ53" s="14"/>
      <c r="DK53" s="15"/>
      <c r="DM53" s="14"/>
      <c r="DN53" s="14"/>
      <c r="DO53" s="14"/>
      <c r="DP53" s="14"/>
      <c r="DQ53" s="14"/>
      <c r="DR53" s="14"/>
      <c r="DS53" s="14"/>
      <c r="DT53" s="14"/>
      <c r="DU53" s="14"/>
      <c r="DV53" s="14"/>
      <c r="DW53" s="14"/>
      <c r="DX53" s="14"/>
      <c r="DY53" s="15"/>
    </row>
    <row r="54" spans="3:129" x14ac:dyDescent="0.3">
      <c r="C54" s="42" t="s">
        <v>15</v>
      </c>
      <c r="D54" s="31"/>
      <c r="E54" s="41"/>
      <c r="F54" s="41"/>
      <c r="G54" s="41"/>
      <c r="H54" s="41"/>
      <c r="I54" s="41"/>
      <c r="J54" s="41"/>
      <c r="K54" s="41"/>
      <c r="L54" s="41"/>
      <c r="M54" s="41"/>
      <c r="N54" s="41"/>
      <c r="O54" s="41"/>
      <c r="P54" s="41"/>
      <c r="Q54" s="40">
        <f t="shared" si="428"/>
        <v>0</v>
      </c>
      <c r="S54" s="14"/>
      <c r="T54" s="14"/>
      <c r="U54" s="14"/>
      <c r="V54" s="14"/>
      <c r="W54" s="14"/>
      <c r="X54" s="14"/>
      <c r="Y54" s="14"/>
      <c r="Z54" s="14"/>
      <c r="AA54" s="14"/>
      <c r="AB54" s="14"/>
      <c r="AC54" s="14"/>
      <c r="AD54" s="14"/>
      <c r="AE54" s="15">
        <f t="shared" ref="AE54:AE57" si="437">SUM(S54:AD54)</f>
        <v>0</v>
      </c>
      <c r="AG54" s="14"/>
      <c r="AH54" s="14"/>
      <c r="AI54" s="14"/>
      <c r="AJ54" s="14"/>
      <c r="AK54" s="14"/>
      <c r="AL54" s="14"/>
      <c r="AM54" s="14"/>
      <c r="AN54" s="14"/>
      <c r="AO54" s="14"/>
      <c r="AP54" s="14"/>
      <c r="AQ54" s="14"/>
      <c r="AR54" s="14"/>
      <c r="AS54" s="15">
        <f t="shared" ref="AS54:AS57" si="438">SUM(AG54:AR54)</f>
        <v>0</v>
      </c>
      <c r="AU54" s="14"/>
      <c r="AV54" s="14"/>
      <c r="AW54" s="14"/>
      <c r="AX54" s="14"/>
      <c r="AY54" s="14"/>
      <c r="AZ54" s="14"/>
      <c r="BA54" s="14"/>
      <c r="BB54" s="14"/>
      <c r="BC54" s="14"/>
      <c r="BD54" s="14"/>
      <c r="BE54" s="14"/>
      <c r="BF54" s="14"/>
      <c r="BG54" s="15">
        <f t="shared" ref="BG54:BG57" si="439">SUM(AU54:BF54)</f>
        <v>0</v>
      </c>
      <c r="BI54" s="14"/>
      <c r="BJ54" s="14"/>
      <c r="BK54" s="14"/>
      <c r="BL54" s="14"/>
      <c r="BM54" s="14"/>
      <c r="BN54" s="14"/>
      <c r="BO54" s="14"/>
      <c r="BP54" s="14"/>
      <c r="BQ54" s="14"/>
      <c r="BR54" s="14"/>
      <c r="BS54" s="14"/>
      <c r="BT54" s="14"/>
      <c r="BU54" s="15">
        <f t="shared" ref="BU54:BU57" si="440">SUM(BI54:BT54)</f>
        <v>0</v>
      </c>
      <c r="BW54" s="14"/>
      <c r="BX54" s="14"/>
      <c r="BY54" s="14"/>
      <c r="BZ54" s="14"/>
      <c r="CA54" s="14"/>
      <c r="CB54" s="14"/>
      <c r="CC54" s="14"/>
      <c r="CD54" s="14"/>
      <c r="CE54" s="14"/>
      <c r="CF54" s="14"/>
      <c r="CG54" s="14"/>
      <c r="CH54" s="14"/>
      <c r="CI54" s="15">
        <f t="shared" ref="CI54:CI57" si="441">SUM(BW54:CH54)</f>
        <v>0</v>
      </c>
      <c r="CK54" s="14"/>
      <c r="CL54" s="14"/>
      <c r="CM54" s="14"/>
      <c r="CN54" s="14"/>
      <c r="CO54" s="14"/>
      <c r="CP54" s="14"/>
      <c r="CQ54" s="14"/>
      <c r="CR54" s="14"/>
      <c r="CS54" s="14"/>
      <c r="CT54" s="14"/>
      <c r="CU54" s="14"/>
      <c r="CV54" s="14"/>
      <c r="CW54" s="15">
        <f t="shared" ref="CW54:CW57" si="442">SUM(CK54:CV54)</f>
        <v>0</v>
      </c>
      <c r="CY54" s="14"/>
      <c r="CZ54" s="14"/>
      <c r="DA54" s="14"/>
      <c r="DB54" s="14"/>
      <c r="DC54" s="14"/>
      <c r="DD54" s="14"/>
      <c r="DE54" s="14"/>
      <c r="DF54" s="14"/>
      <c r="DG54" s="14"/>
      <c r="DH54" s="14"/>
      <c r="DI54" s="14"/>
      <c r="DJ54" s="14"/>
      <c r="DK54" s="15">
        <f t="shared" ref="DK54:DK57" si="443">SUM(CY54:DJ54)</f>
        <v>0</v>
      </c>
      <c r="DM54" s="14"/>
      <c r="DN54" s="14"/>
      <c r="DO54" s="14"/>
      <c r="DP54" s="14"/>
      <c r="DQ54" s="14"/>
      <c r="DR54" s="14"/>
      <c r="DS54" s="14"/>
      <c r="DT54" s="14"/>
      <c r="DU54" s="14"/>
      <c r="DV54" s="14"/>
      <c r="DW54" s="14"/>
      <c r="DX54" s="14"/>
      <c r="DY54" s="15">
        <f t="shared" ref="DY54:DY57" si="444">SUM(DM54:DX54)</f>
        <v>0</v>
      </c>
    </row>
    <row r="55" spans="3:129" x14ac:dyDescent="0.3">
      <c r="C55" s="42" t="s">
        <v>15</v>
      </c>
      <c r="D55" s="31"/>
      <c r="E55" s="41"/>
      <c r="F55" s="41"/>
      <c r="G55" s="41"/>
      <c r="H55" s="41"/>
      <c r="I55" s="41"/>
      <c r="J55" s="41"/>
      <c r="K55" s="41"/>
      <c r="L55" s="41"/>
      <c r="M55" s="41"/>
      <c r="N55" s="41"/>
      <c r="O55" s="41"/>
      <c r="P55" s="41"/>
      <c r="Q55" s="40">
        <f t="shared" si="428"/>
        <v>0</v>
      </c>
      <c r="S55" s="14"/>
      <c r="T55" s="14"/>
      <c r="U55" s="14"/>
      <c r="V55" s="14"/>
      <c r="W55" s="14"/>
      <c r="X55" s="14"/>
      <c r="Y55" s="14"/>
      <c r="Z55" s="14"/>
      <c r="AA55" s="14"/>
      <c r="AB55" s="14"/>
      <c r="AC55" s="14"/>
      <c r="AD55" s="14"/>
      <c r="AE55" s="15">
        <f t="shared" si="437"/>
        <v>0</v>
      </c>
      <c r="AG55" s="14"/>
      <c r="AH55" s="14"/>
      <c r="AI55" s="14"/>
      <c r="AJ55" s="14"/>
      <c r="AK55" s="14"/>
      <c r="AL55" s="14"/>
      <c r="AM55" s="14"/>
      <c r="AN55" s="14"/>
      <c r="AO55" s="14"/>
      <c r="AP55" s="14"/>
      <c r="AQ55" s="14"/>
      <c r="AR55" s="14"/>
      <c r="AS55" s="15">
        <f t="shared" si="438"/>
        <v>0</v>
      </c>
      <c r="AU55" s="14"/>
      <c r="AV55" s="14"/>
      <c r="AW55" s="14"/>
      <c r="AX55" s="14"/>
      <c r="AY55" s="14"/>
      <c r="AZ55" s="14"/>
      <c r="BA55" s="14"/>
      <c r="BB55" s="14"/>
      <c r="BC55" s="14"/>
      <c r="BD55" s="14"/>
      <c r="BE55" s="14"/>
      <c r="BF55" s="14"/>
      <c r="BG55" s="15">
        <f t="shared" si="439"/>
        <v>0</v>
      </c>
      <c r="BI55" s="14"/>
      <c r="BJ55" s="14"/>
      <c r="BK55" s="14"/>
      <c r="BL55" s="14"/>
      <c r="BM55" s="14"/>
      <c r="BN55" s="14"/>
      <c r="BO55" s="14"/>
      <c r="BP55" s="14"/>
      <c r="BQ55" s="14"/>
      <c r="BR55" s="14"/>
      <c r="BS55" s="14"/>
      <c r="BT55" s="14"/>
      <c r="BU55" s="15">
        <f t="shared" si="440"/>
        <v>0</v>
      </c>
      <c r="BW55" s="14"/>
      <c r="BX55" s="14"/>
      <c r="BY55" s="14"/>
      <c r="BZ55" s="14"/>
      <c r="CA55" s="14"/>
      <c r="CB55" s="14"/>
      <c r="CC55" s="14"/>
      <c r="CD55" s="14"/>
      <c r="CE55" s="14"/>
      <c r="CF55" s="14"/>
      <c r="CG55" s="14"/>
      <c r="CH55" s="14"/>
      <c r="CI55" s="15">
        <f t="shared" si="441"/>
        <v>0</v>
      </c>
      <c r="CK55" s="14"/>
      <c r="CL55" s="14"/>
      <c r="CM55" s="14"/>
      <c r="CN55" s="14"/>
      <c r="CO55" s="14"/>
      <c r="CP55" s="14"/>
      <c r="CQ55" s="14"/>
      <c r="CR55" s="14"/>
      <c r="CS55" s="14"/>
      <c r="CT55" s="14"/>
      <c r="CU55" s="14"/>
      <c r="CV55" s="14"/>
      <c r="CW55" s="15">
        <f t="shared" si="442"/>
        <v>0</v>
      </c>
      <c r="CY55" s="14"/>
      <c r="CZ55" s="14"/>
      <c r="DA55" s="14"/>
      <c r="DB55" s="14"/>
      <c r="DC55" s="14"/>
      <c r="DD55" s="14"/>
      <c r="DE55" s="14"/>
      <c r="DF55" s="14"/>
      <c r="DG55" s="14"/>
      <c r="DH55" s="14"/>
      <c r="DI55" s="14"/>
      <c r="DJ55" s="14"/>
      <c r="DK55" s="15">
        <f t="shared" si="443"/>
        <v>0</v>
      </c>
      <c r="DM55" s="14"/>
      <c r="DN55" s="14"/>
      <c r="DO55" s="14"/>
      <c r="DP55" s="14"/>
      <c r="DQ55" s="14"/>
      <c r="DR55" s="14"/>
      <c r="DS55" s="14"/>
      <c r="DT55" s="14"/>
      <c r="DU55" s="14"/>
      <c r="DV55" s="14"/>
      <c r="DW55" s="14"/>
      <c r="DX55" s="14"/>
      <c r="DY55" s="15">
        <f t="shared" si="444"/>
        <v>0</v>
      </c>
    </row>
    <row r="56" spans="3:129" x14ac:dyDescent="0.3">
      <c r="C56" s="42" t="s">
        <v>15</v>
      </c>
      <c r="D56" s="31"/>
      <c r="E56" s="41"/>
      <c r="F56" s="41"/>
      <c r="G56" s="41"/>
      <c r="H56" s="41"/>
      <c r="I56" s="41"/>
      <c r="J56" s="41"/>
      <c r="K56" s="41"/>
      <c r="L56" s="41"/>
      <c r="M56" s="41"/>
      <c r="N56" s="41"/>
      <c r="O56" s="41"/>
      <c r="P56" s="41"/>
      <c r="Q56" s="40">
        <f t="shared" si="428"/>
        <v>0</v>
      </c>
      <c r="S56" s="14"/>
      <c r="T56" s="14"/>
      <c r="U56" s="14"/>
      <c r="V56" s="14"/>
      <c r="W56" s="14"/>
      <c r="X56" s="14"/>
      <c r="Y56" s="14"/>
      <c r="Z56" s="14"/>
      <c r="AA56" s="14"/>
      <c r="AB56" s="14"/>
      <c r="AC56" s="14"/>
      <c r="AD56" s="14"/>
      <c r="AE56" s="15">
        <f t="shared" si="437"/>
        <v>0</v>
      </c>
      <c r="AG56" s="14"/>
      <c r="AH56" s="14"/>
      <c r="AI56" s="14"/>
      <c r="AJ56" s="14"/>
      <c r="AK56" s="14"/>
      <c r="AL56" s="14"/>
      <c r="AM56" s="14"/>
      <c r="AN56" s="14"/>
      <c r="AO56" s="14"/>
      <c r="AP56" s="14"/>
      <c r="AQ56" s="14"/>
      <c r="AR56" s="14"/>
      <c r="AS56" s="15">
        <f t="shared" si="438"/>
        <v>0</v>
      </c>
      <c r="AU56" s="14"/>
      <c r="AV56" s="14"/>
      <c r="AW56" s="14"/>
      <c r="AX56" s="14"/>
      <c r="AY56" s="14"/>
      <c r="AZ56" s="14"/>
      <c r="BA56" s="14"/>
      <c r="BB56" s="14"/>
      <c r="BC56" s="14"/>
      <c r="BD56" s="14"/>
      <c r="BE56" s="14"/>
      <c r="BF56" s="14"/>
      <c r="BG56" s="15">
        <f t="shared" si="439"/>
        <v>0</v>
      </c>
      <c r="BI56" s="14"/>
      <c r="BJ56" s="14"/>
      <c r="BK56" s="14"/>
      <c r="BL56" s="14"/>
      <c r="BM56" s="14"/>
      <c r="BN56" s="14"/>
      <c r="BO56" s="14"/>
      <c r="BP56" s="14"/>
      <c r="BQ56" s="14"/>
      <c r="BR56" s="14"/>
      <c r="BS56" s="14"/>
      <c r="BT56" s="14"/>
      <c r="BU56" s="15">
        <f t="shared" si="440"/>
        <v>0</v>
      </c>
      <c r="BW56" s="14"/>
      <c r="BX56" s="14"/>
      <c r="BY56" s="14"/>
      <c r="BZ56" s="14"/>
      <c r="CA56" s="14"/>
      <c r="CB56" s="14"/>
      <c r="CC56" s="14"/>
      <c r="CD56" s="14"/>
      <c r="CE56" s="14"/>
      <c r="CF56" s="14"/>
      <c r="CG56" s="14"/>
      <c r="CH56" s="14"/>
      <c r="CI56" s="15">
        <f t="shared" si="441"/>
        <v>0</v>
      </c>
      <c r="CK56" s="14"/>
      <c r="CL56" s="14"/>
      <c r="CM56" s="14"/>
      <c r="CN56" s="14"/>
      <c r="CO56" s="14"/>
      <c r="CP56" s="14"/>
      <c r="CQ56" s="14"/>
      <c r="CR56" s="14"/>
      <c r="CS56" s="14"/>
      <c r="CT56" s="14"/>
      <c r="CU56" s="14"/>
      <c r="CV56" s="14"/>
      <c r="CW56" s="15">
        <f t="shared" si="442"/>
        <v>0</v>
      </c>
      <c r="CY56" s="14"/>
      <c r="CZ56" s="14"/>
      <c r="DA56" s="14"/>
      <c r="DB56" s="14"/>
      <c r="DC56" s="14"/>
      <c r="DD56" s="14"/>
      <c r="DE56" s="14"/>
      <c r="DF56" s="14"/>
      <c r="DG56" s="14"/>
      <c r="DH56" s="14"/>
      <c r="DI56" s="14"/>
      <c r="DJ56" s="14"/>
      <c r="DK56" s="15">
        <f t="shared" si="443"/>
        <v>0</v>
      </c>
      <c r="DM56" s="14"/>
      <c r="DN56" s="14"/>
      <c r="DO56" s="14"/>
      <c r="DP56" s="14"/>
      <c r="DQ56" s="14"/>
      <c r="DR56" s="14"/>
      <c r="DS56" s="14"/>
      <c r="DT56" s="14"/>
      <c r="DU56" s="14"/>
      <c r="DV56" s="14"/>
      <c r="DW56" s="14"/>
      <c r="DX56" s="14"/>
      <c r="DY56" s="15">
        <f t="shared" si="444"/>
        <v>0</v>
      </c>
    </row>
    <row r="57" spans="3:129" x14ac:dyDescent="0.3">
      <c r="C57" s="42" t="s">
        <v>15</v>
      </c>
      <c r="D57" s="31"/>
      <c r="E57" s="41"/>
      <c r="F57" s="41"/>
      <c r="G57" s="41"/>
      <c r="H57" s="41"/>
      <c r="I57" s="41"/>
      <c r="J57" s="41"/>
      <c r="K57" s="41"/>
      <c r="L57" s="41"/>
      <c r="M57" s="41"/>
      <c r="N57" s="41"/>
      <c r="O57" s="41"/>
      <c r="P57" s="41"/>
      <c r="Q57" s="40">
        <f t="shared" si="428"/>
        <v>0</v>
      </c>
      <c r="S57" s="14"/>
      <c r="T57" s="14"/>
      <c r="U57" s="14"/>
      <c r="V57" s="14"/>
      <c r="W57" s="14"/>
      <c r="X57" s="14"/>
      <c r="Y57" s="14"/>
      <c r="Z57" s="14"/>
      <c r="AA57" s="14"/>
      <c r="AB57" s="14"/>
      <c r="AC57" s="14"/>
      <c r="AD57" s="14"/>
      <c r="AE57" s="15">
        <f t="shared" si="437"/>
        <v>0</v>
      </c>
      <c r="AG57" s="14"/>
      <c r="AH57" s="14"/>
      <c r="AI57" s="14"/>
      <c r="AJ57" s="14"/>
      <c r="AK57" s="14"/>
      <c r="AL57" s="14"/>
      <c r="AM57" s="14"/>
      <c r="AN57" s="14"/>
      <c r="AO57" s="14"/>
      <c r="AP57" s="14"/>
      <c r="AQ57" s="14"/>
      <c r="AR57" s="14"/>
      <c r="AS57" s="15">
        <f t="shared" si="438"/>
        <v>0</v>
      </c>
      <c r="AU57" s="14"/>
      <c r="AV57" s="14"/>
      <c r="AW57" s="14"/>
      <c r="AX57" s="14"/>
      <c r="AY57" s="14"/>
      <c r="AZ57" s="14"/>
      <c r="BA57" s="14"/>
      <c r="BB57" s="14"/>
      <c r="BC57" s="14"/>
      <c r="BD57" s="14"/>
      <c r="BE57" s="14"/>
      <c r="BF57" s="14"/>
      <c r="BG57" s="15">
        <f t="shared" si="439"/>
        <v>0</v>
      </c>
      <c r="BI57" s="14"/>
      <c r="BJ57" s="14"/>
      <c r="BK57" s="14"/>
      <c r="BL57" s="14"/>
      <c r="BM57" s="14"/>
      <c r="BN57" s="14"/>
      <c r="BO57" s="14"/>
      <c r="BP57" s="14"/>
      <c r="BQ57" s="14"/>
      <c r="BR57" s="14"/>
      <c r="BS57" s="14"/>
      <c r="BT57" s="14"/>
      <c r="BU57" s="15">
        <f t="shared" si="440"/>
        <v>0</v>
      </c>
      <c r="BW57" s="14"/>
      <c r="BX57" s="14"/>
      <c r="BY57" s="14"/>
      <c r="BZ57" s="14"/>
      <c r="CA57" s="14"/>
      <c r="CB57" s="14"/>
      <c r="CC57" s="14"/>
      <c r="CD57" s="14"/>
      <c r="CE57" s="14"/>
      <c r="CF57" s="14"/>
      <c r="CG57" s="14"/>
      <c r="CH57" s="14"/>
      <c r="CI57" s="15">
        <f t="shared" si="441"/>
        <v>0</v>
      </c>
      <c r="CK57" s="14"/>
      <c r="CL57" s="14"/>
      <c r="CM57" s="14"/>
      <c r="CN57" s="14"/>
      <c r="CO57" s="14"/>
      <c r="CP57" s="14"/>
      <c r="CQ57" s="14"/>
      <c r="CR57" s="14"/>
      <c r="CS57" s="14"/>
      <c r="CT57" s="14"/>
      <c r="CU57" s="14"/>
      <c r="CV57" s="14"/>
      <c r="CW57" s="15">
        <f t="shared" si="442"/>
        <v>0</v>
      </c>
      <c r="CY57" s="14"/>
      <c r="CZ57" s="14"/>
      <c r="DA57" s="14"/>
      <c r="DB57" s="14"/>
      <c r="DC57" s="14"/>
      <c r="DD57" s="14"/>
      <c r="DE57" s="14"/>
      <c r="DF57" s="14"/>
      <c r="DG57" s="14"/>
      <c r="DH57" s="14"/>
      <c r="DI57" s="14"/>
      <c r="DJ57" s="14"/>
      <c r="DK57" s="15">
        <f t="shared" si="443"/>
        <v>0</v>
      </c>
      <c r="DM57" s="14"/>
      <c r="DN57" s="14"/>
      <c r="DO57" s="14"/>
      <c r="DP57" s="14"/>
      <c r="DQ57" s="14"/>
      <c r="DR57" s="14"/>
      <c r="DS57" s="14"/>
      <c r="DT57" s="14"/>
      <c r="DU57" s="14"/>
      <c r="DV57" s="14"/>
      <c r="DW57" s="14"/>
      <c r="DX57" s="14"/>
      <c r="DY57" s="15">
        <f t="shared" si="444"/>
        <v>0</v>
      </c>
    </row>
    <row r="58" spans="3:129" x14ac:dyDescent="0.3">
      <c r="C58" s="43" t="s">
        <v>6</v>
      </c>
      <c r="D58" s="44"/>
      <c r="E58" s="45" cm="1">
        <f t="array" aca="1" ref="E58" ca="1">SUM(INDIRECT(ADDRESS(savings_min_row, COLUMN()) &amp; ":" &amp; ADDRESS(savings_max_row,COLUMN())))</f>
        <v>1500</v>
      </c>
      <c r="F58" s="45" cm="1">
        <f t="array" aca="1" ref="F58" ca="1">SUM(INDIRECT(ADDRESS(savings_min_row, COLUMN()) &amp; ":" &amp; ADDRESS(savings_max_row,COLUMN())))</f>
        <v>1500</v>
      </c>
      <c r="G58" s="45" cm="1">
        <f t="array" aca="1" ref="G58" ca="1">SUM(INDIRECT(ADDRESS(savings_min_row, COLUMN()) &amp; ":" &amp; ADDRESS(savings_max_row,COLUMN())))</f>
        <v>1500</v>
      </c>
      <c r="H58" s="45" cm="1">
        <f t="array" aca="1" ref="H58" ca="1">SUM(INDIRECT(ADDRESS(savings_min_row, COLUMN()) &amp; ":" &amp; ADDRESS(savings_max_row,COLUMN())))</f>
        <v>500</v>
      </c>
      <c r="I58" s="45" cm="1">
        <f t="array" aca="1" ref="I58" ca="1">SUM(INDIRECT(ADDRESS(savings_min_row, COLUMN()) &amp; ":" &amp; ADDRESS(savings_max_row,COLUMN())))</f>
        <v>500</v>
      </c>
      <c r="J58" s="45" cm="1">
        <f t="array" aca="1" ref="J58" ca="1">SUM(INDIRECT(ADDRESS(savings_min_row, COLUMN()) &amp; ":" &amp; ADDRESS(savings_max_row,COLUMN())))</f>
        <v>600</v>
      </c>
      <c r="K58" s="45" cm="1">
        <f t="array" aca="1" ref="K58" ca="1">SUM(INDIRECT(ADDRESS(savings_min_row, COLUMN()) &amp; ":" &amp; ADDRESS(savings_max_row,COLUMN())))</f>
        <v>500</v>
      </c>
      <c r="L58" s="45" cm="1">
        <f t="array" aca="1" ref="L58" ca="1">SUM(INDIRECT(ADDRESS(savings_min_row, COLUMN()) &amp; ":" &amp; ADDRESS(savings_max_row,COLUMN())))</f>
        <v>500</v>
      </c>
      <c r="M58" s="45" cm="1">
        <f t="array" aca="1" ref="M58" ca="1">SUM(INDIRECT(ADDRESS(savings_min_row, COLUMN()) &amp; ":" &amp; ADDRESS(savings_max_row,COLUMN())))</f>
        <v>500</v>
      </c>
      <c r="N58" s="45" cm="1">
        <f t="array" aca="1" ref="N58" ca="1">SUM(INDIRECT(ADDRESS(savings_min_row, COLUMN()) &amp; ":" &amp; ADDRESS(savings_max_row,COLUMN())))</f>
        <v>500</v>
      </c>
      <c r="O58" s="45" cm="1">
        <f t="array" aca="1" ref="O58" ca="1">SUM(INDIRECT(ADDRESS(savings_min_row, COLUMN()) &amp; ":" &amp; ADDRESS(savings_max_row,COLUMN())))</f>
        <v>500</v>
      </c>
      <c r="P58" s="45" cm="1">
        <f t="array" aca="1" ref="P58" ca="1">SUM(INDIRECT(ADDRESS(savings_min_row, COLUMN()) &amp; ":" &amp; ADDRESS(savings_max_row,COLUMN())))</f>
        <v>500</v>
      </c>
      <c r="Q58" s="45" cm="1">
        <f t="array" aca="1" ref="Q58" ca="1">SUM(INDIRECT(ADDRESS(savings_min_row, COLUMN()) &amp; ":" &amp; ADDRESS(savings_max_row,COLUMN())))</f>
        <v>9100</v>
      </c>
      <c r="S58" s="16" cm="1">
        <f t="array" aca="1" ref="S58" ca="1">SUM(INDIRECT(ADDRESS(savings_min_row, COLUMN()) &amp; ":" &amp; ADDRESS(savings_max_row,COLUMN())))</f>
        <v>0</v>
      </c>
      <c r="T58" s="16" cm="1">
        <f t="array" aca="1" ref="T58" ca="1">SUM(INDIRECT(ADDRESS(savings_min_row, COLUMN()) &amp; ":" &amp; ADDRESS(savings_max_row,COLUMN())))</f>
        <v>0</v>
      </c>
      <c r="U58" s="16" cm="1">
        <f t="array" aca="1" ref="U58" ca="1">SUM(INDIRECT(ADDRESS(savings_min_row, COLUMN()) &amp; ":" &amp; ADDRESS(savings_max_row,COLUMN())))</f>
        <v>0</v>
      </c>
      <c r="V58" s="16" cm="1">
        <f t="array" aca="1" ref="V58" ca="1">SUM(INDIRECT(ADDRESS(savings_min_row, COLUMN()) &amp; ":" &amp; ADDRESS(savings_max_row,COLUMN())))</f>
        <v>0</v>
      </c>
      <c r="W58" s="16" cm="1">
        <f t="array" aca="1" ref="W58" ca="1">SUM(INDIRECT(ADDRESS(savings_min_row, COLUMN()) &amp; ":" &amp; ADDRESS(savings_max_row,COLUMN())))</f>
        <v>0</v>
      </c>
      <c r="X58" s="16" cm="1">
        <f t="array" aca="1" ref="X58" ca="1">SUM(INDIRECT(ADDRESS(savings_min_row, COLUMN()) &amp; ":" &amp; ADDRESS(savings_max_row,COLUMN())))</f>
        <v>0</v>
      </c>
      <c r="Y58" s="16" cm="1">
        <f t="array" aca="1" ref="Y58" ca="1">SUM(INDIRECT(ADDRESS(savings_min_row, COLUMN()) &amp; ":" &amp; ADDRESS(savings_max_row,COLUMN())))</f>
        <v>0</v>
      </c>
      <c r="Z58" s="16" cm="1">
        <f t="array" aca="1" ref="Z58" ca="1">SUM(INDIRECT(ADDRESS(savings_min_row, COLUMN()) &amp; ":" &amp; ADDRESS(savings_max_row,COLUMN())))</f>
        <v>0</v>
      </c>
      <c r="AA58" s="16" cm="1">
        <f t="array" aca="1" ref="AA58" ca="1">SUM(INDIRECT(ADDRESS(savings_min_row, COLUMN()) &amp; ":" &amp; ADDRESS(savings_max_row,COLUMN())))</f>
        <v>0</v>
      </c>
      <c r="AB58" s="16" cm="1">
        <f t="array" aca="1" ref="AB58" ca="1">SUM(INDIRECT(ADDRESS(savings_min_row, COLUMN()) &amp; ":" &amp; ADDRESS(savings_max_row,COLUMN())))</f>
        <v>0</v>
      </c>
      <c r="AC58" s="16" cm="1">
        <f t="array" aca="1" ref="AC58" ca="1">SUM(INDIRECT(ADDRESS(savings_min_row, COLUMN()) &amp; ":" &amp; ADDRESS(savings_max_row,COLUMN())))</f>
        <v>0</v>
      </c>
      <c r="AD58" s="16" cm="1">
        <f t="array" aca="1" ref="AD58" ca="1">SUM(INDIRECT(ADDRESS(savings_min_row, COLUMN()) &amp; ":" &amp; ADDRESS(savings_max_row,COLUMN())))</f>
        <v>0</v>
      </c>
      <c r="AE58" s="16" cm="1">
        <f t="array" aca="1" ref="AE58" ca="1">SUM(INDIRECT(ADDRESS(savings_min_row, COLUMN()) &amp; ":" &amp; ADDRESS(savings_max_row,COLUMN())))</f>
        <v>0</v>
      </c>
      <c r="AG58" s="16" cm="1">
        <f t="array" aca="1" ref="AG58" ca="1">SUM(INDIRECT(ADDRESS(savings_min_row, COLUMN()) &amp; ":" &amp; ADDRESS(savings_max_row,COLUMN())))</f>
        <v>0</v>
      </c>
      <c r="AH58" s="16" cm="1">
        <f t="array" aca="1" ref="AH58" ca="1">SUM(INDIRECT(ADDRESS(savings_min_row, COLUMN()) &amp; ":" &amp; ADDRESS(savings_max_row,COLUMN())))</f>
        <v>0</v>
      </c>
      <c r="AI58" s="16" cm="1">
        <f t="array" aca="1" ref="AI58" ca="1">SUM(INDIRECT(ADDRESS(savings_min_row, COLUMN()) &amp; ":" &amp; ADDRESS(savings_max_row,COLUMN())))</f>
        <v>0</v>
      </c>
      <c r="AJ58" s="16" cm="1">
        <f t="array" aca="1" ref="AJ58" ca="1">SUM(INDIRECT(ADDRESS(savings_min_row, COLUMN()) &amp; ":" &amp; ADDRESS(savings_max_row,COLUMN())))</f>
        <v>0</v>
      </c>
      <c r="AK58" s="16" cm="1">
        <f t="array" aca="1" ref="AK58" ca="1">SUM(INDIRECT(ADDRESS(savings_min_row, COLUMN()) &amp; ":" &amp; ADDRESS(savings_max_row,COLUMN())))</f>
        <v>0</v>
      </c>
      <c r="AL58" s="16" cm="1">
        <f t="array" aca="1" ref="AL58" ca="1">SUM(INDIRECT(ADDRESS(savings_min_row, COLUMN()) &amp; ":" &amp; ADDRESS(savings_max_row,COLUMN())))</f>
        <v>0</v>
      </c>
      <c r="AM58" s="16" cm="1">
        <f t="array" aca="1" ref="AM58" ca="1">SUM(INDIRECT(ADDRESS(savings_min_row, COLUMN()) &amp; ":" &amp; ADDRESS(savings_max_row,COLUMN())))</f>
        <v>0</v>
      </c>
      <c r="AN58" s="16" cm="1">
        <f t="array" aca="1" ref="AN58" ca="1">SUM(INDIRECT(ADDRESS(savings_min_row, COLUMN()) &amp; ":" &amp; ADDRESS(savings_max_row,COLUMN())))</f>
        <v>0</v>
      </c>
      <c r="AO58" s="16" cm="1">
        <f t="array" aca="1" ref="AO58" ca="1">SUM(INDIRECT(ADDRESS(savings_min_row, COLUMN()) &amp; ":" &amp; ADDRESS(savings_max_row,COLUMN())))</f>
        <v>0</v>
      </c>
      <c r="AP58" s="16" cm="1">
        <f t="array" aca="1" ref="AP58" ca="1">SUM(INDIRECT(ADDRESS(savings_min_row, COLUMN()) &amp; ":" &amp; ADDRESS(savings_max_row,COLUMN())))</f>
        <v>0</v>
      </c>
      <c r="AQ58" s="16" cm="1">
        <f t="array" aca="1" ref="AQ58" ca="1">SUM(INDIRECT(ADDRESS(savings_min_row, COLUMN()) &amp; ":" &amp; ADDRESS(savings_max_row,COLUMN())))</f>
        <v>0</v>
      </c>
      <c r="AR58" s="16" cm="1">
        <f t="array" aca="1" ref="AR58" ca="1">SUM(INDIRECT(ADDRESS(savings_min_row, COLUMN()) &amp; ":" &amp; ADDRESS(savings_max_row,COLUMN())))</f>
        <v>0</v>
      </c>
      <c r="AS58" s="16" cm="1">
        <f t="array" aca="1" ref="AS58" ca="1">SUM(INDIRECT(ADDRESS(savings_min_row, COLUMN()) &amp; ":" &amp; ADDRESS(savings_max_row,COLUMN())))</f>
        <v>0</v>
      </c>
      <c r="AU58" s="16" cm="1">
        <f t="array" aca="1" ref="AU58" ca="1">SUM(INDIRECT(ADDRESS(savings_min_row, COLUMN()) &amp; ":" &amp; ADDRESS(savings_max_row,COLUMN())))</f>
        <v>0</v>
      </c>
      <c r="AV58" s="16" cm="1">
        <f t="array" aca="1" ref="AV58" ca="1">SUM(INDIRECT(ADDRESS(savings_min_row, COLUMN()) &amp; ":" &amp; ADDRESS(savings_max_row,COLUMN())))</f>
        <v>0</v>
      </c>
      <c r="AW58" s="16" cm="1">
        <f t="array" aca="1" ref="AW58" ca="1">SUM(INDIRECT(ADDRESS(savings_min_row, COLUMN()) &amp; ":" &amp; ADDRESS(savings_max_row,COLUMN())))</f>
        <v>0</v>
      </c>
      <c r="AX58" s="16" cm="1">
        <f t="array" aca="1" ref="AX58" ca="1">SUM(INDIRECT(ADDRESS(savings_min_row, COLUMN()) &amp; ":" &amp; ADDRESS(savings_max_row,COLUMN())))</f>
        <v>0</v>
      </c>
      <c r="AY58" s="16" cm="1">
        <f t="array" aca="1" ref="AY58" ca="1">SUM(INDIRECT(ADDRESS(savings_min_row, COLUMN()) &amp; ":" &amp; ADDRESS(savings_max_row,COLUMN())))</f>
        <v>0</v>
      </c>
      <c r="AZ58" s="16" cm="1">
        <f t="array" aca="1" ref="AZ58" ca="1">SUM(INDIRECT(ADDRESS(savings_min_row, COLUMN()) &amp; ":" &amp; ADDRESS(savings_max_row,COLUMN())))</f>
        <v>0</v>
      </c>
      <c r="BA58" s="16" cm="1">
        <f t="array" aca="1" ref="BA58" ca="1">SUM(INDIRECT(ADDRESS(savings_min_row, COLUMN()) &amp; ":" &amp; ADDRESS(savings_max_row,COLUMN())))</f>
        <v>0</v>
      </c>
      <c r="BB58" s="16" cm="1">
        <f t="array" aca="1" ref="BB58" ca="1">SUM(INDIRECT(ADDRESS(savings_min_row, COLUMN()) &amp; ":" &amp; ADDRESS(savings_max_row,COLUMN())))</f>
        <v>0</v>
      </c>
      <c r="BC58" s="16" cm="1">
        <f t="array" aca="1" ref="BC58" ca="1">SUM(INDIRECT(ADDRESS(savings_min_row, COLUMN()) &amp; ":" &amp; ADDRESS(savings_max_row,COLUMN())))</f>
        <v>0</v>
      </c>
      <c r="BD58" s="16" cm="1">
        <f t="array" aca="1" ref="BD58" ca="1">SUM(INDIRECT(ADDRESS(savings_min_row, COLUMN()) &amp; ":" &amp; ADDRESS(savings_max_row,COLUMN())))</f>
        <v>0</v>
      </c>
      <c r="BE58" s="16" cm="1">
        <f t="array" aca="1" ref="BE58" ca="1">SUM(INDIRECT(ADDRESS(savings_min_row, COLUMN()) &amp; ":" &amp; ADDRESS(savings_max_row,COLUMN())))</f>
        <v>0</v>
      </c>
      <c r="BF58" s="16" cm="1">
        <f t="array" aca="1" ref="BF58" ca="1">SUM(INDIRECT(ADDRESS(savings_min_row, COLUMN()) &amp; ":" &amp; ADDRESS(savings_max_row,COLUMN())))</f>
        <v>0</v>
      </c>
      <c r="BG58" s="16" cm="1">
        <f t="array" aca="1" ref="BG58" ca="1">SUM(INDIRECT(ADDRESS(savings_min_row, COLUMN()) &amp; ":" &amp; ADDRESS(savings_max_row,COLUMN())))</f>
        <v>0</v>
      </c>
      <c r="BI58" s="16" cm="1">
        <f t="array" aca="1" ref="BI58" ca="1">SUM(INDIRECT(ADDRESS(savings_min_row, COLUMN()) &amp; ":" &amp; ADDRESS(savings_max_row,COLUMN())))</f>
        <v>0</v>
      </c>
      <c r="BJ58" s="16" cm="1">
        <f t="array" aca="1" ref="BJ58" ca="1">SUM(INDIRECT(ADDRESS(savings_min_row, COLUMN()) &amp; ":" &amp; ADDRESS(savings_max_row,COLUMN())))</f>
        <v>0</v>
      </c>
      <c r="BK58" s="16" cm="1">
        <f t="array" aca="1" ref="BK58" ca="1">SUM(INDIRECT(ADDRESS(savings_min_row, COLUMN()) &amp; ":" &amp; ADDRESS(savings_max_row,COLUMN())))</f>
        <v>0</v>
      </c>
      <c r="BL58" s="16" cm="1">
        <f t="array" aca="1" ref="BL58" ca="1">SUM(INDIRECT(ADDRESS(savings_min_row, COLUMN()) &amp; ":" &amp; ADDRESS(savings_max_row,COLUMN())))</f>
        <v>0</v>
      </c>
      <c r="BM58" s="16" cm="1">
        <f t="array" aca="1" ref="BM58" ca="1">SUM(INDIRECT(ADDRESS(savings_min_row, COLUMN()) &amp; ":" &amp; ADDRESS(savings_max_row,COLUMN())))</f>
        <v>0</v>
      </c>
      <c r="BN58" s="16" cm="1">
        <f t="array" aca="1" ref="BN58" ca="1">SUM(INDIRECT(ADDRESS(savings_min_row, COLUMN()) &amp; ":" &amp; ADDRESS(savings_max_row,COLUMN())))</f>
        <v>0</v>
      </c>
      <c r="BO58" s="16" cm="1">
        <f t="array" aca="1" ref="BO58" ca="1">SUM(INDIRECT(ADDRESS(savings_min_row, COLUMN()) &amp; ":" &amp; ADDRESS(savings_max_row,COLUMN())))</f>
        <v>0</v>
      </c>
      <c r="BP58" s="16" cm="1">
        <f t="array" aca="1" ref="BP58" ca="1">SUM(INDIRECT(ADDRESS(savings_min_row, COLUMN()) &amp; ":" &amp; ADDRESS(savings_max_row,COLUMN())))</f>
        <v>0</v>
      </c>
      <c r="BQ58" s="16" cm="1">
        <f t="array" aca="1" ref="BQ58" ca="1">SUM(INDIRECT(ADDRESS(savings_min_row, COLUMN()) &amp; ":" &amp; ADDRESS(savings_max_row,COLUMN())))</f>
        <v>0</v>
      </c>
      <c r="BR58" s="16" cm="1">
        <f t="array" aca="1" ref="BR58" ca="1">SUM(INDIRECT(ADDRESS(savings_min_row, COLUMN()) &amp; ":" &amp; ADDRESS(savings_max_row,COLUMN())))</f>
        <v>0</v>
      </c>
      <c r="BS58" s="16" cm="1">
        <f t="array" aca="1" ref="BS58" ca="1">SUM(INDIRECT(ADDRESS(savings_min_row, COLUMN()) &amp; ":" &amp; ADDRESS(savings_max_row,COLUMN())))</f>
        <v>0</v>
      </c>
      <c r="BT58" s="16" cm="1">
        <f t="array" aca="1" ref="BT58" ca="1">SUM(INDIRECT(ADDRESS(savings_min_row, COLUMN()) &amp; ":" &amp; ADDRESS(savings_max_row,COLUMN())))</f>
        <v>0</v>
      </c>
      <c r="BU58" s="16" cm="1">
        <f t="array" aca="1" ref="BU58" ca="1">SUM(INDIRECT(ADDRESS(savings_min_row, COLUMN()) &amp; ":" &amp; ADDRESS(savings_max_row,COLUMN())))</f>
        <v>0</v>
      </c>
      <c r="BW58" s="16" cm="1">
        <f t="array" aca="1" ref="BW58" ca="1">SUM(INDIRECT(ADDRESS(savings_min_row, COLUMN()) &amp; ":" &amp; ADDRESS(savings_max_row,COLUMN())))</f>
        <v>0</v>
      </c>
      <c r="BX58" s="16" cm="1">
        <f t="array" aca="1" ref="BX58" ca="1">SUM(INDIRECT(ADDRESS(savings_min_row, COLUMN()) &amp; ":" &amp; ADDRESS(savings_max_row,COLUMN())))</f>
        <v>0</v>
      </c>
      <c r="BY58" s="16" cm="1">
        <f t="array" aca="1" ref="BY58" ca="1">SUM(INDIRECT(ADDRESS(savings_min_row, COLUMN()) &amp; ":" &amp; ADDRESS(savings_max_row,COLUMN())))</f>
        <v>0</v>
      </c>
      <c r="BZ58" s="16" cm="1">
        <f t="array" aca="1" ref="BZ58" ca="1">SUM(INDIRECT(ADDRESS(savings_min_row, COLUMN()) &amp; ":" &amp; ADDRESS(savings_max_row,COLUMN())))</f>
        <v>0</v>
      </c>
      <c r="CA58" s="16" cm="1">
        <f t="array" aca="1" ref="CA58" ca="1">SUM(INDIRECT(ADDRESS(savings_min_row, COLUMN()) &amp; ":" &amp; ADDRESS(savings_max_row,COLUMN())))</f>
        <v>0</v>
      </c>
      <c r="CB58" s="16" cm="1">
        <f t="array" aca="1" ref="CB58" ca="1">SUM(INDIRECT(ADDRESS(savings_min_row, COLUMN()) &amp; ":" &amp; ADDRESS(savings_max_row,COLUMN())))</f>
        <v>0</v>
      </c>
      <c r="CC58" s="16" cm="1">
        <f t="array" aca="1" ref="CC58" ca="1">SUM(INDIRECT(ADDRESS(savings_min_row, COLUMN()) &amp; ":" &amp; ADDRESS(savings_max_row,COLUMN())))</f>
        <v>0</v>
      </c>
      <c r="CD58" s="16" cm="1">
        <f t="array" aca="1" ref="CD58" ca="1">SUM(INDIRECT(ADDRESS(savings_min_row, COLUMN()) &amp; ":" &amp; ADDRESS(savings_max_row,COLUMN())))</f>
        <v>0</v>
      </c>
      <c r="CE58" s="16" cm="1">
        <f t="array" aca="1" ref="CE58" ca="1">SUM(INDIRECT(ADDRESS(savings_min_row, COLUMN()) &amp; ":" &amp; ADDRESS(savings_max_row,COLUMN())))</f>
        <v>0</v>
      </c>
      <c r="CF58" s="16" cm="1">
        <f t="array" aca="1" ref="CF58" ca="1">SUM(INDIRECT(ADDRESS(savings_min_row, COLUMN()) &amp; ":" &amp; ADDRESS(savings_max_row,COLUMN())))</f>
        <v>0</v>
      </c>
      <c r="CG58" s="16" cm="1">
        <f t="array" aca="1" ref="CG58" ca="1">SUM(INDIRECT(ADDRESS(savings_min_row, COLUMN()) &amp; ":" &amp; ADDRESS(savings_max_row,COLUMN())))</f>
        <v>0</v>
      </c>
      <c r="CH58" s="16" cm="1">
        <f t="array" aca="1" ref="CH58" ca="1">SUM(INDIRECT(ADDRESS(savings_min_row, COLUMN()) &amp; ":" &amp; ADDRESS(savings_max_row,COLUMN())))</f>
        <v>0</v>
      </c>
      <c r="CI58" s="16" cm="1">
        <f t="array" aca="1" ref="CI58" ca="1">SUM(INDIRECT(ADDRESS(savings_min_row, COLUMN()) &amp; ":" &amp; ADDRESS(savings_max_row,COLUMN())))</f>
        <v>0</v>
      </c>
      <c r="CK58" s="16" cm="1">
        <f t="array" aca="1" ref="CK58" ca="1">SUM(INDIRECT(ADDRESS(savings_min_row, COLUMN()) &amp; ":" &amp; ADDRESS(savings_max_row,COLUMN())))</f>
        <v>0</v>
      </c>
      <c r="CL58" s="16" cm="1">
        <f t="array" aca="1" ref="CL58" ca="1">SUM(INDIRECT(ADDRESS(savings_min_row, COLUMN()) &amp; ":" &amp; ADDRESS(savings_max_row,COLUMN())))</f>
        <v>0</v>
      </c>
      <c r="CM58" s="16" cm="1">
        <f t="array" aca="1" ref="CM58" ca="1">SUM(INDIRECT(ADDRESS(savings_min_row, COLUMN()) &amp; ":" &amp; ADDRESS(savings_max_row,COLUMN())))</f>
        <v>0</v>
      </c>
      <c r="CN58" s="16" cm="1">
        <f t="array" aca="1" ref="CN58" ca="1">SUM(INDIRECT(ADDRESS(savings_min_row, COLUMN()) &amp; ":" &amp; ADDRESS(savings_max_row,COLUMN())))</f>
        <v>0</v>
      </c>
      <c r="CO58" s="16" cm="1">
        <f t="array" aca="1" ref="CO58" ca="1">SUM(INDIRECT(ADDRESS(savings_min_row, COLUMN()) &amp; ":" &amp; ADDRESS(savings_max_row,COLUMN())))</f>
        <v>0</v>
      </c>
      <c r="CP58" s="16" cm="1">
        <f t="array" aca="1" ref="CP58" ca="1">SUM(INDIRECT(ADDRESS(savings_min_row, COLUMN()) &amp; ":" &amp; ADDRESS(savings_max_row,COLUMN())))</f>
        <v>0</v>
      </c>
      <c r="CQ58" s="16" cm="1">
        <f t="array" aca="1" ref="CQ58" ca="1">SUM(INDIRECT(ADDRESS(savings_min_row, COLUMN()) &amp; ":" &amp; ADDRESS(savings_max_row,COLUMN())))</f>
        <v>0</v>
      </c>
      <c r="CR58" s="16" cm="1">
        <f t="array" aca="1" ref="CR58" ca="1">SUM(INDIRECT(ADDRESS(savings_min_row, COLUMN()) &amp; ":" &amp; ADDRESS(savings_max_row,COLUMN())))</f>
        <v>0</v>
      </c>
      <c r="CS58" s="16" cm="1">
        <f t="array" aca="1" ref="CS58" ca="1">SUM(INDIRECT(ADDRESS(savings_min_row, COLUMN()) &amp; ":" &amp; ADDRESS(savings_max_row,COLUMN())))</f>
        <v>0</v>
      </c>
      <c r="CT58" s="16" cm="1">
        <f t="array" aca="1" ref="CT58" ca="1">SUM(INDIRECT(ADDRESS(savings_min_row, COLUMN()) &amp; ":" &amp; ADDRESS(savings_max_row,COLUMN())))</f>
        <v>0</v>
      </c>
      <c r="CU58" s="16" cm="1">
        <f t="array" aca="1" ref="CU58" ca="1">SUM(INDIRECT(ADDRESS(savings_min_row, COLUMN()) &amp; ":" &amp; ADDRESS(savings_max_row,COLUMN())))</f>
        <v>0</v>
      </c>
      <c r="CV58" s="16" cm="1">
        <f t="array" aca="1" ref="CV58" ca="1">SUM(INDIRECT(ADDRESS(savings_min_row, COLUMN()) &amp; ":" &amp; ADDRESS(savings_max_row,COLUMN())))</f>
        <v>0</v>
      </c>
      <c r="CW58" s="16" cm="1">
        <f t="array" aca="1" ref="CW58" ca="1">SUM(INDIRECT(ADDRESS(savings_min_row, COLUMN()) &amp; ":" &amp; ADDRESS(savings_max_row,COLUMN())))</f>
        <v>0</v>
      </c>
      <c r="CY58" s="16" cm="1">
        <f t="array" aca="1" ref="CY58" ca="1">SUM(INDIRECT(ADDRESS(savings_min_row, COLUMN()) &amp; ":" &amp; ADDRESS(savings_max_row,COLUMN())))</f>
        <v>0</v>
      </c>
      <c r="CZ58" s="16" cm="1">
        <f t="array" aca="1" ref="CZ58" ca="1">SUM(INDIRECT(ADDRESS(savings_min_row, COLUMN()) &amp; ":" &amp; ADDRESS(savings_max_row,COLUMN())))</f>
        <v>0</v>
      </c>
      <c r="DA58" s="16" cm="1">
        <f t="array" aca="1" ref="DA58" ca="1">SUM(INDIRECT(ADDRESS(savings_min_row, COLUMN()) &amp; ":" &amp; ADDRESS(savings_max_row,COLUMN())))</f>
        <v>0</v>
      </c>
      <c r="DB58" s="16" cm="1">
        <f t="array" aca="1" ref="DB58" ca="1">SUM(INDIRECT(ADDRESS(savings_min_row, COLUMN()) &amp; ":" &amp; ADDRESS(savings_max_row,COLUMN())))</f>
        <v>0</v>
      </c>
      <c r="DC58" s="16" cm="1">
        <f t="array" aca="1" ref="DC58" ca="1">SUM(INDIRECT(ADDRESS(savings_min_row, COLUMN()) &amp; ":" &amp; ADDRESS(savings_max_row,COLUMN())))</f>
        <v>0</v>
      </c>
      <c r="DD58" s="16" cm="1">
        <f t="array" aca="1" ref="DD58" ca="1">SUM(INDIRECT(ADDRESS(savings_min_row, COLUMN()) &amp; ":" &amp; ADDRESS(savings_max_row,COLUMN())))</f>
        <v>0</v>
      </c>
      <c r="DE58" s="16" cm="1">
        <f t="array" aca="1" ref="DE58" ca="1">SUM(INDIRECT(ADDRESS(savings_min_row, COLUMN()) &amp; ":" &amp; ADDRESS(savings_max_row,COLUMN())))</f>
        <v>0</v>
      </c>
      <c r="DF58" s="16" cm="1">
        <f t="array" aca="1" ref="DF58" ca="1">SUM(INDIRECT(ADDRESS(savings_min_row, COLUMN()) &amp; ":" &amp; ADDRESS(savings_max_row,COLUMN())))</f>
        <v>0</v>
      </c>
      <c r="DG58" s="16" cm="1">
        <f t="array" aca="1" ref="DG58" ca="1">SUM(INDIRECT(ADDRESS(savings_min_row, COLUMN()) &amp; ":" &amp; ADDRESS(savings_max_row,COLUMN())))</f>
        <v>0</v>
      </c>
      <c r="DH58" s="16" cm="1">
        <f t="array" aca="1" ref="DH58" ca="1">SUM(INDIRECT(ADDRESS(savings_min_row, COLUMN()) &amp; ":" &amp; ADDRESS(savings_max_row,COLUMN())))</f>
        <v>0</v>
      </c>
      <c r="DI58" s="16" cm="1">
        <f t="array" aca="1" ref="DI58" ca="1">SUM(INDIRECT(ADDRESS(savings_min_row, COLUMN()) &amp; ":" &amp; ADDRESS(savings_max_row,COLUMN())))</f>
        <v>0</v>
      </c>
      <c r="DJ58" s="16" cm="1">
        <f t="array" aca="1" ref="DJ58" ca="1">SUM(INDIRECT(ADDRESS(savings_min_row, COLUMN()) &amp; ":" &amp; ADDRESS(savings_max_row,COLUMN())))</f>
        <v>0</v>
      </c>
      <c r="DK58" s="16" cm="1">
        <f t="array" aca="1" ref="DK58" ca="1">SUM(INDIRECT(ADDRESS(savings_min_row, COLUMN()) &amp; ":" &amp; ADDRESS(savings_max_row,COLUMN())))</f>
        <v>0</v>
      </c>
      <c r="DM58" s="16" cm="1">
        <f t="array" aca="1" ref="DM58" ca="1">SUM(INDIRECT(ADDRESS(savings_min_row, COLUMN()) &amp; ":" &amp; ADDRESS(savings_max_row,COLUMN())))</f>
        <v>0</v>
      </c>
      <c r="DN58" s="16" cm="1">
        <f t="array" aca="1" ref="DN58" ca="1">SUM(INDIRECT(ADDRESS(savings_min_row, COLUMN()) &amp; ":" &amp; ADDRESS(savings_max_row,COLUMN())))</f>
        <v>0</v>
      </c>
      <c r="DO58" s="16" cm="1">
        <f t="array" aca="1" ref="DO58" ca="1">SUM(INDIRECT(ADDRESS(savings_min_row, COLUMN()) &amp; ":" &amp; ADDRESS(savings_max_row,COLUMN())))</f>
        <v>0</v>
      </c>
      <c r="DP58" s="16" cm="1">
        <f t="array" aca="1" ref="DP58" ca="1">SUM(INDIRECT(ADDRESS(savings_min_row, COLUMN()) &amp; ":" &amp; ADDRESS(savings_max_row,COLUMN())))</f>
        <v>0</v>
      </c>
      <c r="DQ58" s="16" cm="1">
        <f t="array" aca="1" ref="DQ58" ca="1">SUM(INDIRECT(ADDRESS(savings_min_row, COLUMN()) &amp; ":" &amp; ADDRESS(savings_max_row,COLUMN())))</f>
        <v>0</v>
      </c>
      <c r="DR58" s="16" cm="1">
        <f t="array" aca="1" ref="DR58" ca="1">SUM(INDIRECT(ADDRESS(savings_min_row, COLUMN()) &amp; ":" &amp; ADDRESS(savings_max_row,COLUMN())))</f>
        <v>0</v>
      </c>
      <c r="DS58" s="16" cm="1">
        <f t="array" aca="1" ref="DS58" ca="1">SUM(INDIRECT(ADDRESS(savings_min_row, COLUMN()) &amp; ":" &amp; ADDRESS(savings_max_row,COLUMN())))</f>
        <v>0</v>
      </c>
      <c r="DT58" s="16" cm="1">
        <f t="array" aca="1" ref="DT58" ca="1">SUM(INDIRECT(ADDRESS(savings_min_row, COLUMN()) &amp; ":" &amp; ADDRESS(savings_max_row,COLUMN())))</f>
        <v>0</v>
      </c>
      <c r="DU58" s="16" cm="1">
        <f t="array" aca="1" ref="DU58" ca="1">SUM(INDIRECT(ADDRESS(savings_min_row, COLUMN()) &amp; ":" &amp; ADDRESS(savings_max_row,COLUMN())))</f>
        <v>0</v>
      </c>
      <c r="DV58" s="16" cm="1">
        <f t="array" aca="1" ref="DV58" ca="1">SUM(INDIRECT(ADDRESS(savings_min_row, COLUMN()) &amp; ":" &amp; ADDRESS(savings_max_row,COLUMN())))</f>
        <v>0</v>
      </c>
      <c r="DW58" s="16" cm="1">
        <f t="array" aca="1" ref="DW58" ca="1">SUM(INDIRECT(ADDRESS(savings_min_row, COLUMN()) &amp; ":" &amp; ADDRESS(savings_max_row,COLUMN())))</f>
        <v>0</v>
      </c>
      <c r="DX58" s="16" cm="1">
        <f t="array" aca="1" ref="DX58" ca="1">SUM(INDIRECT(ADDRESS(savings_min_row, COLUMN()) &amp; ":" &amp; ADDRESS(savings_max_row,COLUMN())))</f>
        <v>0</v>
      </c>
      <c r="DY58" s="16" cm="1">
        <f t="array" aca="1" ref="DY58" ca="1">SUM(INDIRECT(ADDRESS(savings_min_row, COLUMN()) &amp; ":" &amp; ADDRESS(savings_max_row,COLUMN())))</f>
        <v>0</v>
      </c>
    </row>
    <row r="59" spans="3:129" x14ac:dyDescent="0.3">
      <c r="C59" s="31"/>
      <c r="D59" s="31"/>
      <c r="E59" s="31"/>
      <c r="F59" s="31"/>
      <c r="G59" s="31"/>
      <c r="H59" s="31"/>
      <c r="I59" s="31"/>
      <c r="J59" s="31"/>
      <c r="K59" s="31"/>
      <c r="L59" s="31"/>
      <c r="M59" s="31"/>
      <c r="N59" s="31"/>
      <c r="O59" s="31"/>
      <c r="P59" s="31"/>
      <c r="Q59" s="31"/>
    </row>
    <row r="61" spans="3:129" x14ac:dyDescent="0.3">
      <c r="C61" cm="1">
        <f t="array" ref="C61">savings_max_row</f>
        <v>50</v>
      </c>
    </row>
  </sheetData>
  <mergeCells count="9">
    <mergeCell ref="E5:Q5"/>
    <mergeCell ref="S5:AE5"/>
    <mergeCell ref="AG5:AS5"/>
    <mergeCell ref="DM5:DY5"/>
    <mergeCell ref="AU5:BG5"/>
    <mergeCell ref="BI5:BU5"/>
    <mergeCell ref="BW5:CI5"/>
    <mergeCell ref="CK5:CW5"/>
    <mergeCell ref="CY5:DK5"/>
  </mergeCells>
  <conditionalFormatting sqref="C5">
    <cfRule type="iconSet" priority="9">
      <iconSet iconSet="3Arrows">
        <cfvo type="percent" val="0"/>
        <cfvo type="percent" val="33"/>
        <cfvo type="percent" val="67"/>
      </iconSet>
    </cfRule>
  </conditionalFormatting>
  <conditionalFormatting sqref="C22">
    <cfRule type="expression" dxfId="37" priority="19">
      <formula>ROW(A15)&lt;=Income_max_row</formula>
    </cfRule>
  </conditionalFormatting>
  <conditionalFormatting sqref="C46:C57 E46:Q58">
    <cfRule type="expression" dxfId="36" priority="15">
      <formula>ROW(A46)&lt;=savings_max_row</formula>
    </cfRule>
  </conditionalFormatting>
  <conditionalFormatting sqref="E40">
    <cfRule type="expression" dxfId="35" priority="11">
      <formula>ROW(C40)&lt;=expenses_max_row</formula>
    </cfRule>
  </conditionalFormatting>
  <conditionalFormatting sqref="E6:Q7 S6:AE7 AG6:AS7 AU6:BG7 BI6:BU7 BW6:CI7 CK6:CW7 CY6:DK7 DM6:DY7">
    <cfRule type="expression" dxfId="34" priority="1" stopIfTrue="1">
      <formula>AND(E$23=0, E$41=0, E$58=0)</formula>
    </cfRule>
    <cfRule type="expression" dxfId="33" priority="2" stopIfTrue="1">
      <formula>E$7=0</formula>
    </cfRule>
    <cfRule type="expression" dxfId="32" priority="3">
      <formula>E$7&lt;0</formula>
    </cfRule>
  </conditionalFormatting>
  <conditionalFormatting sqref="E11:Q14 S11:AE14 AG11:AS14 AU11:BG14 BI11:BU14 BW11:CI14 CK11:CW14 CY11:DK14 DM11:DY14 C11:C15">
    <cfRule type="expression" dxfId="31" priority="5">
      <formula>ROW(A11)&lt;=Income_max_row</formula>
    </cfRule>
  </conditionalFormatting>
  <conditionalFormatting sqref="E28:Q39 C28:C40">
    <cfRule type="expression" dxfId="30" priority="13">
      <formula>ROW(A28)&lt;=expenses_max_row</formula>
    </cfRule>
  </conditionalFormatting>
  <conditionalFormatting sqref="S28:AE39 AG28:AS39 AU28:BG39 BI28:BU39 BW28:CI39 CK28:CW39 CY28:DK39 DM28:DY39 S40 AG40 AU40 BI40 BW40 CK40 CY40 DM40">
    <cfRule type="expression" dxfId="29" priority="8">
      <formula>ROW(Q28)&lt;=expenses_max_row</formula>
    </cfRule>
  </conditionalFormatting>
  <conditionalFormatting sqref="S46:AE58 AG46:AS58 AU46:BG58 BI46:BU58 BW46:CI58 CK46:CW58 CY46:DK58 DM46:DY58">
    <cfRule type="expression" dxfId="28" priority="4">
      <formula>ROW(Q46)&lt;=savings_max_row</formula>
    </cfRule>
  </conditionalFormatting>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FA930-1DD4-4FEB-8413-2ED8D49DE9A1}">
  <dimension ref="A1:DZ95"/>
  <sheetViews>
    <sheetView showGridLines="0" topLeftCell="A5" zoomScale="89" workbookViewId="0">
      <pane ySplit="9" topLeftCell="A45" activePane="bottomLeft" state="frozen"/>
      <selection activeCell="B5" sqref="B5"/>
      <selection pane="bottomLeft" activeCell="K54" sqref="K54"/>
    </sheetView>
  </sheetViews>
  <sheetFormatPr defaultRowHeight="14.4" x14ac:dyDescent="0.3"/>
  <cols>
    <col min="2" max="2" width="8.33203125" customWidth="1"/>
    <col min="3" max="4" width="17.5546875" customWidth="1"/>
    <col min="5" max="5" width="23.77734375" customWidth="1"/>
    <col min="6" max="6" width="19.21875" customWidth="1"/>
    <col min="7" max="7" width="23" customWidth="1"/>
    <col min="8" max="8" width="14.5546875" customWidth="1"/>
    <col min="9" max="9" width="20.109375" customWidth="1"/>
  </cols>
  <sheetData>
    <row r="1" spans="1:130" ht="4.8" customHeight="1" x14ac:dyDescent="0.3">
      <c r="G1">
        <v>545</v>
      </c>
    </row>
    <row r="2" spans="1:130"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row>
    <row r="3" spans="1:130" ht="33.6" customHeight="1" x14ac:dyDescent="0.3">
      <c r="A3" s="29" t="s">
        <v>19</v>
      </c>
      <c r="B3" s="26"/>
      <c r="C3" s="27"/>
      <c r="D3" s="28"/>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row>
    <row r="13" spans="1:130" x14ac:dyDescent="0.3">
      <c r="C13" s="53" t="s">
        <v>20</v>
      </c>
      <c r="D13" s="53" t="s">
        <v>21</v>
      </c>
      <c r="E13" s="56" t="s">
        <v>23</v>
      </c>
      <c r="F13" s="53" t="s">
        <v>22</v>
      </c>
      <c r="G13" s="53" t="s">
        <v>24</v>
      </c>
      <c r="H13" s="54" t="s">
        <v>25</v>
      </c>
      <c r="I13" s="54" t="s">
        <v>26</v>
      </c>
    </row>
    <row r="14" spans="1:130" x14ac:dyDescent="0.3">
      <c r="C14" s="55"/>
      <c r="D14" s="56"/>
      <c r="E14" s="56"/>
      <c r="F14" s="57"/>
      <c r="G14" s="58"/>
      <c r="H14" s="59" cm="1">
        <f t="array" ref="H14">SUMPRODUCT(Tracking[Amount], --(Tracking[Date]&lt;=Tracking[[#This Row],[Date]]),(Tracking[Type]&lt;&gt;"Income") * (-1) + (Tracking[Type]="Income"))</f>
        <v>0</v>
      </c>
      <c r="I14" s="64">
        <f>IF(AND(Tracking[[#This Row],[Type]]="Income", Shift_late_income_status="Active", DAY(Tracking[[#This Row],[Date]])&gt;=Shift_late_income_starting_day),
        DATE(YEAR(Tracking[[#This Row],[Date]]), MONTH(Tracking[[#This Row],[Date]])+1, 1),
         Tracking[[#This Row],[Date]])</f>
        <v>0</v>
      </c>
    </row>
    <row r="15" spans="1:130" x14ac:dyDescent="0.3">
      <c r="C15" s="55"/>
      <c r="D15" s="56"/>
      <c r="E15" s="56"/>
      <c r="F15" s="57"/>
      <c r="G15" s="58"/>
      <c r="H15" s="59" cm="1">
        <f t="array" ref="H15">SUMPRODUCT(Tracking[Amount], --(Tracking[Date]&lt;=Tracking[[#This Row],[Date]]),(Tracking[Type]&lt;&gt;"Income") * (-1) + (Tracking[Type]="Income"))</f>
        <v>0</v>
      </c>
      <c r="I15" s="64">
        <f>IF(AND(Tracking[[#This Row],[Type]]="Income", Shift_late_income_status="Active", DAY(Tracking[[#This Row],[Date]])&gt;=Shift_late_income_starting_day),
        DATE(YEAR(Tracking[[#This Row],[Date]]), MONTH(Tracking[[#This Row],[Date]])+1, 1),
         Tracking[[#This Row],[Date]])</f>
        <v>0</v>
      </c>
    </row>
    <row r="16" spans="1:130" x14ac:dyDescent="0.3">
      <c r="C16" s="55"/>
      <c r="D16" s="56"/>
      <c r="E16" s="56"/>
      <c r="F16" s="57"/>
      <c r="G16" s="58"/>
      <c r="H16" s="59" cm="1">
        <f t="array" ref="H16">SUMPRODUCT(Tracking[Amount], --(Tracking[Date]&lt;=Tracking[[#This Row],[Date]]),(Tracking[Type]&lt;&gt;"Income") * (-1) + (Tracking[Type]="Income"))</f>
        <v>0</v>
      </c>
      <c r="I16" s="64">
        <f>IF(AND(Tracking[[#This Row],[Type]]="Income", Shift_late_income_status="Active", DAY(Tracking[[#This Row],[Date]])&gt;=Shift_late_income_starting_day),
        DATE(YEAR(Tracking[[#This Row],[Date]]), MONTH(Tracking[[#This Row],[Date]])+1, 1),
         Tracking[[#This Row],[Date]])</f>
        <v>0</v>
      </c>
    </row>
    <row r="17" spans="3:9" x14ac:dyDescent="0.3">
      <c r="C17" s="55"/>
      <c r="D17" s="56"/>
      <c r="E17" s="56"/>
      <c r="F17" s="57"/>
      <c r="G17" s="58"/>
      <c r="H17" s="59" cm="1">
        <f t="array" ref="H17">SUMPRODUCT(Tracking[Amount], --(Tracking[Date]&lt;=Tracking[[#This Row],[Date]]),(Tracking[Type]&lt;&gt;"Income") * (-1) + (Tracking[Type]="Income"))</f>
        <v>0</v>
      </c>
      <c r="I17" s="64">
        <f>IF(AND(Tracking[[#This Row],[Type]]="Income", Shift_late_income_status="Active", DAY(Tracking[[#This Row],[Date]])&gt;=Shift_late_income_starting_day),
        DATE(YEAR(Tracking[[#This Row],[Date]]), MONTH(Tracking[[#This Row],[Date]])+1, 1),
         Tracking[[#This Row],[Date]])</f>
        <v>0</v>
      </c>
    </row>
    <row r="18" spans="3:9" x14ac:dyDescent="0.3">
      <c r="C18" s="55"/>
      <c r="D18" s="56"/>
      <c r="E18" s="56"/>
      <c r="F18" s="73"/>
      <c r="G18" s="74"/>
      <c r="H18" s="59" cm="1">
        <f t="array" ref="H18">SUMPRODUCT(Tracking[Amount], --(Tracking[Date]&lt;=Tracking[[#This Row],[Date]]),(Tracking[Type]&lt;&gt;"Income") * (-1) + (Tracking[Type]="Income"))</f>
        <v>0</v>
      </c>
      <c r="I18" s="64">
        <f>IF(AND(Tracking[[#This Row],[Type]]="Income", Shift_late_income_status="Active", DAY(Tracking[[#This Row],[Date]])&gt;=Shift_late_income_starting_day),
        DATE(YEAR(Tracking[[#This Row],[Date]]), MONTH(Tracking[[#This Row],[Date]])+1, 1),
         Tracking[[#This Row],[Date]])</f>
        <v>0</v>
      </c>
    </row>
    <row r="19" spans="3:9" x14ac:dyDescent="0.3">
      <c r="C19" s="55"/>
      <c r="D19" s="56"/>
      <c r="E19" s="56"/>
      <c r="F19" s="57"/>
      <c r="G19" s="58"/>
      <c r="H19" s="59" cm="1">
        <f t="array" ref="H19">SUMPRODUCT(Tracking[Amount], --(Tracking[Date]&lt;=Tracking[[#This Row],[Date]]),(Tracking[Type]&lt;&gt;"Income") * (-1) + (Tracking[Type]="Income"))</f>
        <v>0</v>
      </c>
      <c r="I19" s="64">
        <f>IF(AND(Tracking[[#This Row],[Type]]="Income", Shift_late_income_status="Active", DAY(Tracking[[#This Row],[Date]])&gt;=Shift_late_income_starting_day),
        DATE(YEAR(Tracking[[#This Row],[Date]]), MONTH(Tracking[[#This Row],[Date]])+1, 1),
         Tracking[[#This Row],[Date]])</f>
        <v>0</v>
      </c>
    </row>
    <row r="20" spans="3:9" x14ac:dyDescent="0.3">
      <c r="C20" s="55"/>
      <c r="D20" s="56"/>
      <c r="E20" s="56"/>
      <c r="F20" s="73"/>
      <c r="G20" s="74"/>
      <c r="H20" s="59" cm="1">
        <f t="array" ref="H20">SUMPRODUCT(Tracking[Amount], --(Tracking[Date]&lt;=Tracking[[#This Row],[Date]]),(Tracking[Type]&lt;&gt;"Income") * (-1) + (Tracking[Type]="Income"))</f>
        <v>0</v>
      </c>
      <c r="I20" s="64">
        <f>IF(AND(Tracking[[#This Row],[Type]]="Income", Shift_late_income_status="Active", DAY(Tracking[[#This Row],[Date]])&gt;=Shift_late_income_starting_day),
        DATE(YEAR(Tracking[[#This Row],[Date]]), MONTH(Tracking[[#This Row],[Date]])+1, 1),
         Tracking[[#This Row],[Date]])</f>
        <v>0</v>
      </c>
    </row>
    <row r="21" spans="3:9" x14ac:dyDescent="0.3">
      <c r="C21" s="55"/>
      <c r="D21" s="56"/>
      <c r="E21" s="56"/>
      <c r="F21" s="73"/>
      <c r="G21" s="74"/>
      <c r="H21" s="59" cm="1">
        <f t="array" ref="H21">SUMPRODUCT(Tracking[Amount], --(Tracking[Date]&lt;=Tracking[[#This Row],[Date]]),(Tracking[Type]&lt;&gt;"Income") * (-1) + (Tracking[Type]="Income"))</f>
        <v>0</v>
      </c>
      <c r="I21" s="64">
        <f>IF(AND(Tracking[[#This Row],[Type]]="Income", Shift_late_income_status="Active", DAY(Tracking[[#This Row],[Date]])&gt;=Shift_late_income_starting_day),
        DATE(YEAR(Tracking[[#This Row],[Date]]), MONTH(Tracking[[#This Row],[Date]])+1, 1),
         Tracking[[#This Row],[Date]])</f>
        <v>0</v>
      </c>
    </row>
    <row r="22" spans="3:9" x14ac:dyDescent="0.3">
      <c r="C22" s="55"/>
      <c r="D22" s="56"/>
      <c r="E22" s="56"/>
      <c r="F22" s="57"/>
      <c r="G22" s="58"/>
      <c r="H22" s="59" cm="1">
        <f t="array" ref="H22">SUMPRODUCT(Tracking[Amount], --(Tracking[Date]&lt;=Tracking[[#This Row],[Date]]),(Tracking[Type]&lt;&gt;"Income") * (-1) + (Tracking[Type]="Income"))</f>
        <v>0</v>
      </c>
      <c r="I22" s="64">
        <f>IF(AND(Tracking[[#This Row],[Type]]="Income", Shift_late_income_status="Active", DAY(Tracking[[#This Row],[Date]])&gt;=Shift_late_income_starting_day),
        DATE(YEAR(Tracking[[#This Row],[Date]]), MONTH(Tracking[[#This Row],[Date]])+1, 1),
         Tracking[[#This Row],[Date]])</f>
        <v>0</v>
      </c>
    </row>
    <row r="23" spans="3:9" x14ac:dyDescent="0.3">
      <c r="C23" s="55"/>
      <c r="D23" s="56"/>
      <c r="E23" s="56"/>
      <c r="F23" s="57"/>
      <c r="G23" s="58"/>
      <c r="H23" s="59" cm="1">
        <f t="array" ref="H23">SUMPRODUCT(Tracking[Amount], --(Tracking[Date]&lt;=Tracking[[#This Row],[Date]]),(Tracking[Type]&lt;&gt;"Income") * (-1) + (Tracking[Type]="Income"))</f>
        <v>0</v>
      </c>
      <c r="I23" s="64">
        <f>IF(AND(Tracking[[#This Row],[Type]]="Income", Shift_late_income_status="Active", DAY(Tracking[[#This Row],[Date]])&gt;=Shift_late_income_starting_day),
        DATE(YEAR(Tracking[[#This Row],[Date]]), MONTH(Tracking[[#This Row],[Date]])+1, 1),
         Tracking[[#This Row],[Date]])</f>
        <v>0</v>
      </c>
    </row>
    <row r="24" spans="3:9" x14ac:dyDescent="0.3">
      <c r="C24" s="55"/>
      <c r="D24" s="56"/>
      <c r="E24" s="56"/>
      <c r="F24" s="57"/>
      <c r="G24" s="58"/>
      <c r="H24" s="59" cm="1">
        <f t="array" ref="H24">SUMPRODUCT(Tracking[Amount], --(Tracking[Date]&lt;=Tracking[[#This Row],[Date]]),(Tracking[Type]&lt;&gt;"Income") * (-1) + (Tracking[Type]="Income"))</f>
        <v>0</v>
      </c>
      <c r="I24" s="64">
        <f>IF(AND(Tracking[[#This Row],[Type]]="Income", Shift_late_income_status="Active", DAY(Tracking[[#This Row],[Date]])&gt;=Shift_late_income_starting_day),
        DATE(YEAR(Tracking[[#This Row],[Date]]), MONTH(Tracking[[#This Row],[Date]])+1, 1),
         Tracking[[#This Row],[Date]])</f>
        <v>0</v>
      </c>
    </row>
    <row r="25" spans="3:9" x14ac:dyDescent="0.3">
      <c r="C25" s="55"/>
      <c r="D25" s="56"/>
      <c r="E25" s="56"/>
      <c r="F25" s="57"/>
      <c r="G25" s="58"/>
      <c r="H25" s="59" cm="1">
        <f t="array" ref="H25">SUMPRODUCT(Tracking[Amount], --(Tracking[Date]&lt;=Tracking[[#This Row],[Date]]),(Tracking[Type]&lt;&gt;"Income") * (-1) + (Tracking[Type]="Income"))</f>
        <v>0</v>
      </c>
      <c r="I25" s="64">
        <f>IF(AND(Tracking[[#This Row],[Type]]="Income", Shift_late_income_status="Active", DAY(Tracking[[#This Row],[Date]])&gt;=Shift_late_income_starting_day),
        DATE(YEAR(Tracking[[#This Row],[Date]]), MONTH(Tracking[[#This Row],[Date]])+1, 1),
         Tracking[[#This Row],[Date]])</f>
        <v>0</v>
      </c>
    </row>
    <row r="26" spans="3:9" x14ac:dyDescent="0.3">
      <c r="C26" s="55"/>
      <c r="D26" s="56"/>
      <c r="E26" s="56"/>
      <c r="F26" s="57"/>
      <c r="G26" s="58"/>
      <c r="H26" s="59" cm="1">
        <f t="array" ref="H26">SUMPRODUCT(Tracking[Amount], --(Tracking[Date]&lt;=Tracking[[#This Row],[Date]]),(Tracking[Type]&lt;&gt;"Income") * (-1) + (Tracking[Type]="Income"))</f>
        <v>0</v>
      </c>
      <c r="I26" s="64">
        <f>IF(AND(Tracking[[#This Row],[Type]]="Income", Shift_late_income_status="Active", DAY(Tracking[[#This Row],[Date]])&gt;=Shift_late_income_starting_day),
        DATE(YEAR(Tracking[[#This Row],[Date]]), MONTH(Tracking[[#This Row],[Date]])+1, 1),
         Tracking[[#This Row],[Date]])</f>
        <v>0</v>
      </c>
    </row>
    <row r="27" spans="3:9" x14ac:dyDescent="0.3">
      <c r="C27" s="55"/>
      <c r="D27" s="56"/>
      <c r="E27" s="56"/>
      <c r="F27" s="57"/>
      <c r="G27" s="58"/>
      <c r="H27" s="59" cm="1">
        <f t="array" ref="H27">SUMPRODUCT(Tracking[Amount], --(Tracking[Date]&lt;=Tracking[[#This Row],[Date]]),(Tracking[Type]&lt;&gt;"Income") * (-1) + (Tracking[Type]="Income"))</f>
        <v>0</v>
      </c>
      <c r="I27" s="64">
        <f>IF(AND(Tracking[[#This Row],[Type]]="Income", Shift_late_income_status="Active", DAY(Tracking[[#This Row],[Date]])&gt;=Shift_late_income_starting_day),
        DATE(YEAR(Tracking[[#This Row],[Date]]), MONTH(Tracking[[#This Row],[Date]])+1, 1),
         Tracking[[#This Row],[Date]])</f>
        <v>0</v>
      </c>
    </row>
    <row r="28" spans="3:9" x14ac:dyDescent="0.3">
      <c r="C28" s="55"/>
      <c r="D28" s="56"/>
      <c r="E28" s="56"/>
      <c r="F28" s="57"/>
      <c r="G28" s="58"/>
      <c r="H28" s="59" cm="1">
        <f t="array" ref="H28">SUMPRODUCT(Tracking[Amount], --(Tracking[Date]&lt;=Tracking[[#This Row],[Date]]),(Tracking[Type]&lt;&gt;"Income") * (-1) + (Tracking[Type]="Income"))</f>
        <v>0</v>
      </c>
      <c r="I28" s="64">
        <f>IF(AND(Tracking[[#This Row],[Type]]="Income", Shift_late_income_status="Active", DAY(Tracking[[#This Row],[Date]])&gt;=Shift_late_income_starting_day),
        DATE(YEAR(Tracking[[#This Row],[Date]]), MONTH(Tracking[[#This Row],[Date]])+1, 1),
         Tracking[[#This Row],[Date]])</f>
        <v>0</v>
      </c>
    </row>
    <row r="29" spans="3:9" x14ac:dyDescent="0.3">
      <c r="C29" s="55"/>
      <c r="D29" s="56"/>
      <c r="E29" s="56"/>
      <c r="F29" s="57"/>
      <c r="G29" s="58"/>
      <c r="H29" s="59" cm="1">
        <f t="array" ref="H29">SUMPRODUCT(Tracking[Amount], --(Tracking[Date]&lt;=Tracking[[#This Row],[Date]]),(Tracking[Type]&lt;&gt;"Income") * (-1) + (Tracking[Type]="Income"))</f>
        <v>0</v>
      </c>
      <c r="I29" s="64">
        <f>IF(AND(Tracking[[#This Row],[Type]]="Income", Shift_late_income_status="Active", DAY(Tracking[[#This Row],[Date]])&gt;=Shift_late_income_starting_day),
        DATE(YEAR(Tracking[[#This Row],[Date]]), MONTH(Tracking[[#This Row],[Date]])+1, 1),
         Tracking[[#This Row],[Date]])</f>
        <v>0</v>
      </c>
    </row>
    <row r="30" spans="3:9" x14ac:dyDescent="0.3">
      <c r="C30" s="55"/>
      <c r="D30" s="56"/>
      <c r="E30" s="56"/>
      <c r="F30" s="57"/>
      <c r="G30" s="58"/>
      <c r="H30" s="59" cm="1">
        <f t="array" ref="H30">SUMPRODUCT(Tracking[Amount], --(Tracking[Date]&lt;=Tracking[[#This Row],[Date]]),(Tracking[Type]&lt;&gt;"Income") * (-1) + (Tracking[Type]="Income"))</f>
        <v>0</v>
      </c>
      <c r="I30" s="64">
        <f>IF(AND(Tracking[[#This Row],[Type]]="Income", Shift_late_income_status="Active", DAY(Tracking[[#This Row],[Date]])&gt;=Shift_late_income_starting_day),
        DATE(YEAR(Tracking[[#This Row],[Date]]), MONTH(Tracking[[#This Row],[Date]])+1, 1),
         Tracking[[#This Row],[Date]])</f>
        <v>0</v>
      </c>
    </row>
    <row r="31" spans="3:9" x14ac:dyDescent="0.3">
      <c r="C31" s="55"/>
      <c r="D31" s="56"/>
      <c r="E31" s="56"/>
      <c r="F31" s="57"/>
      <c r="G31" s="58"/>
      <c r="H31" s="59" cm="1">
        <f t="array" ref="H31">SUMPRODUCT(Tracking[Amount], --(Tracking[Date]&lt;=Tracking[[#This Row],[Date]]),(Tracking[Type]&lt;&gt;"Income") * (-1) + (Tracking[Type]="Income"))</f>
        <v>0</v>
      </c>
      <c r="I31" s="64">
        <f>IF(AND(Tracking[[#This Row],[Type]]="Income", Shift_late_income_status="Active", DAY(Tracking[[#This Row],[Date]])&gt;=Shift_late_income_starting_day),
        DATE(YEAR(Tracking[[#This Row],[Date]]), MONTH(Tracking[[#This Row],[Date]])+1, 1),
         Tracking[[#This Row],[Date]])</f>
        <v>0</v>
      </c>
    </row>
    <row r="32" spans="3:9" x14ac:dyDescent="0.3">
      <c r="C32" s="55"/>
      <c r="D32" s="56"/>
      <c r="E32" s="56"/>
      <c r="F32" s="57"/>
      <c r="G32" s="58"/>
      <c r="H32" s="59" cm="1">
        <f t="array" ref="H32">SUMPRODUCT(Tracking[Amount], --(Tracking[Date]&lt;=Tracking[[#This Row],[Date]]),(Tracking[Type]&lt;&gt;"Income") * (-1) + (Tracking[Type]="Income"))</f>
        <v>0</v>
      </c>
      <c r="I32" s="64">
        <f>IF(AND(Tracking[[#This Row],[Type]]="Income", Shift_late_income_status="Active", DAY(Tracking[[#This Row],[Date]])&gt;=Shift_late_income_starting_day),
        DATE(YEAR(Tracking[[#This Row],[Date]]), MONTH(Tracking[[#This Row],[Date]])+1, 1),
         Tracking[[#This Row],[Date]])</f>
        <v>0</v>
      </c>
    </row>
    <row r="33" spans="3:9" x14ac:dyDescent="0.3">
      <c r="C33" s="55"/>
      <c r="D33" s="56"/>
      <c r="E33" s="56"/>
      <c r="F33" s="57"/>
      <c r="G33" s="58"/>
      <c r="H33" s="59" cm="1">
        <f t="array" ref="H33">SUMPRODUCT(Tracking[Amount], --(Tracking[Date]&lt;=Tracking[[#This Row],[Date]]),(Tracking[Type]&lt;&gt;"Income") * (-1) + (Tracking[Type]="Income"))</f>
        <v>0</v>
      </c>
      <c r="I33" s="64">
        <f>IF(AND(Tracking[[#This Row],[Type]]="Income", Shift_late_income_status="Active", DAY(Tracking[[#This Row],[Date]])&gt;=Shift_late_income_starting_day),
        DATE(YEAR(Tracking[[#This Row],[Date]]), MONTH(Tracking[[#This Row],[Date]])+1, 1),
         Tracking[[#This Row],[Date]])</f>
        <v>0</v>
      </c>
    </row>
    <row r="34" spans="3:9" x14ac:dyDescent="0.3">
      <c r="C34" s="55"/>
      <c r="D34" s="56"/>
      <c r="E34" s="56"/>
      <c r="F34" s="57"/>
      <c r="G34" s="58"/>
      <c r="H34" s="59" cm="1">
        <f t="array" ref="H34">SUMPRODUCT(Tracking[Amount], --(Tracking[Date]&lt;=Tracking[[#This Row],[Date]]),(Tracking[Type]&lt;&gt;"Income") * (-1) + (Tracking[Type]="Income"))</f>
        <v>0</v>
      </c>
      <c r="I34" s="64">
        <f>IF(AND(Tracking[[#This Row],[Type]]="Income", Shift_late_income_status="Active", DAY(Tracking[[#This Row],[Date]])&gt;=Shift_late_income_starting_day),
        DATE(YEAR(Tracking[[#This Row],[Date]]), MONTH(Tracking[[#This Row],[Date]])+1, 1),
         Tracking[[#This Row],[Date]])</f>
        <v>0</v>
      </c>
    </row>
    <row r="35" spans="3:9" x14ac:dyDescent="0.3">
      <c r="C35" s="55"/>
      <c r="D35" s="56"/>
      <c r="E35" s="56"/>
      <c r="F35" s="57"/>
      <c r="G35" s="58"/>
      <c r="H35" s="59" cm="1">
        <f t="array" ref="H35">SUMPRODUCT(Tracking[Amount], --(Tracking[Date]&lt;=Tracking[[#This Row],[Date]]),(Tracking[Type]&lt;&gt;"Income") * (-1) + (Tracking[Type]="Income"))</f>
        <v>0</v>
      </c>
      <c r="I35" s="64">
        <f>IF(AND(Tracking[[#This Row],[Type]]="Income", Shift_late_income_status="Active", DAY(Tracking[[#This Row],[Date]])&gt;=Shift_late_income_starting_day),
        DATE(YEAR(Tracking[[#This Row],[Date]]), MONTH(Tracking[[#This Row],[Date]])+1, 1),
         Tracking[[#This Row],[Date]])</f>
        <v>0</v>
      </c>
    </row>
    <row r="36" spans="3:9" x14ac:dyDescent="0.3">
      <c r="C36" s="55"/>
      <c r="D36" s="56"/>
      <c r="E36" s="56"/>
      <c r="F36" s="57"/>
      <c r="G36" s="58"/>
      <c r="H36" s="59" cm="1">
        <f t="array" ref="H36">SUMPRODUCT(Tracking[Amount], --(Tracking[Date]&lt;=Tracking[[#This Row],[Date]]),(Tracking[Type]&lt;&gt;"Income") * (-1) + (Tracking[Type]="Income"))</f>
        <v>0</v>
      </c>
      <c r="I36" s="64">
        <f>IF(AND(Tracking[[#This Row],[Type]]="Income", Shift_late_income_status="Active", DAY(Tracking[[#This Row],[Date]])&gt;=Shift_late_income_starting_day),
        DATE(YEAR(Tracking[[#This Row],[Date]]), MONTH(Tracking[[#This Row],[Date]])+1, 1),
         Tracking[[#This Row],[Date]])</f>
        <v>0</v>
      </c>
    </row>
    <row r="37" spans="3:9" x14ac:dyDescent="0.3">
      <c r="C37" s="55"/>
      <c r="D37" s="56"/>
      <c r="E37" s="56"/>
      <c r="F37" s="57"/>
      <c r="G37" s="58"/>
      <c r="H37" s="59" cm="1">
        <f t="array" ref="H37">SUMPRODUCT(Tracking[Amount], --(Tracking[Date]&lt;=Tracking[[#This Row],[Date]]),(Tracking[Type]&lt;&gt;"Income") * (-1) + (Tracking[Type]="Income"))</f>
        <v>0</v>
      </c>
      <c r="I37" s="64">
        <f>IF(AND(Tracking[[#This Row],[Type]]="Income", Shift_late_income_status="Active", DAY(Tracking[[#This Row],[Date]])&gt;=Shift_late_income_starting_day),
        DATE(YEAR(Tracking[[#This Row],[Date]]), MONTH(Tracking[[#This Row],[Date]])+1, 1),
         Tracking[[#This Row],[Date]])</f>
        <v>0</v>
      </c>
    </row>
    <row r="38" spans="3:9" x14ac:dyDescent="0.3">
      <c r="C38" s="55"/>
      <c r="D38" s="56"/>
      <c r="E38" s="56"/>
      <c r="F38" s="57"/>
      <c r="G38" s="58"/>
      <c r="H38" s="59" cm="1">
        <f t="array" ref="H38">SUMPRODUCT(Tracking[Amount], --(Tracking[Date]&lt;=Tracking[[#This Row],[Date]]),(Tracking[Type]&lt;&gt;"Income") * (-1) + (Tracking[Type]="Income"))</f>
        <v>0</v>
      </c>
      <c r="I38" s="64">
        <f>IF(AND(Tracking[[#This Row],[Type]]="Income", Shift_late_income_status="Active", DAY(Tracking[[#This Row],[Date]])&gt;=Shift_late_income_starting_day),
        DATE(YEAR(Tracking[[#This Row],[Date]]), MONTH(Tracking[[#This Row],[Date]])+1, 1),
         Tracking[[#This Row],[Date]])</f>
        <v>0</v>
      </c>
    </row>
    <row r="39" spans="3:9" x14ac:dyDescent="0.3">
      <c r="C39" s="55"/>
      <c r="D39" s="56"/>
      <c r="E39" s="56"/>
      <c r="F39" s="57"/>
      <c r="G39" s="58"/>
      <c r="H39" s="59" cm="1">
        <f t="array" ref="H39">SUMPRODUCT(Tracking[Amount], --(Tracking[Date]&lt;=Tracking[[#This Row],[Date]]),(Tracking[Type]&lt;&gt;"Income") * (-1) + (Tracking[Type]="Income"))</f>
        <v>0</v>
      </c>
      <c r="I39" s="64">
        <f>IF(AND(Tracking[[#This Row],[Type]]="Income", Shift_late_income_status="Active", DAY(Tracking[[#This Row],[Date]])&gt;=Shift_late_income_starting_day),
        DATE(YEAR(Tracking[[#This Row],[Date]]), MONTH(Tracking[[#This Row],[Date]])+1, 1),
         Tracking[[#This Row],[Date]])</f>
        <v>0</v>
      </c>
    </row>
    <row r="40" spans="3:9" x14ac:dyDescent="0.3">
      <c r="C40" s="55"/>
      <c r="D40" s="56"/>
      <c r="E40" s="56"/>
      <c r="F40" s="57"/>
      <c r="G40" s="58"/>
      <c r="H40" s="59" cm="1">
        <f t="array" ref="H40">SUMPRODUCT(Tracking[Amount], --(Tracking[Date]&lt;=Tracking[[#This Row],[Date]]),(Tracking[Type]&lt;&gt;"Income") * (-1) + (Tracking[Type]="Income"))</f>
        <v>0</v>
      </c>
      <c r="I40" s="64">
        <f>IF(AND(Tracking[[#This Row],[Type]]="Income", Shift_late_income_status="Active", DAY(Tracking[[#This Row],[Date]])&gt;=Shift_late_income_starting_day),
        DATE(YEAR(Tracking[[#This Row],[Date]]), MONTH(Tracking[[#This Row],[Date]])+1, 1),
         Tracking[[#This Row],[Date]])</f>
        <v>0</v>
      </c>
    </row>
    <row r="41" spans="3:9" x14ac:dyDescent="0.3">
      <c r="C41" s="55"/>
      <c r="D41" s="56"/>
      <c r="E41" s="56"/>
      <c r="F41" s="57"/>
      <c r="G41" s="58"/>
      <c r="H41" s="59" cm="1">
        <f t="array" ref="H41">SUMPRODUCT(Tracking[Amount], --(Tracking[Date]&lt;=Tracking[[#This Row],[Date]]),(Tracking[Type]&lt;&gt;"Income") * (-1) + (Tracking[Type]="Income"))</f>
        <v>0</v>
      </c>
      <c r="I41" s="64">
        <f>IF(AND(Tracking[[#This Row],[Type]]="Income", Shift_late_income_status="Active", DAY(Tracking[[#This Row],[Date]])&gt;=Shift_late_income_starting_day),
        DATE(YEAR(Tracking[[#This Row],[Date]]), MONTH(Tracking[[#This Row],[Date]])+1, 1),
         Tracking[[#This Row],[Date]])</f>
        <v>0</v>
      </c>
    </row>
    <row r="42" spans="3:9" x14ac:dyDescent="0.3">
      <c r="C42" s="55"/>
      <c r="D42" s="56"/>
      <c r="E42" s="56"/>
      <c r="F42" s="57"/>
      <c r="G42" s="58"/>
      <c r="H42" s="59" cm="1">
        <f t="array" ref="H42">SUMPRODUCT(Tracking[Amount], --(Tracking[Date]&lt;=Tracking[[#This Row],[Date]]),(Tracking[Type]&lt;&gt;"Income") * (-1) + (Tracking[Type]="Income"))</f>
        <v>0</v>
      </c>
      <c r="I42" s="64">
        <f>IF(AND(Tracking[[#This Row],[Type]]="Income", Shift_late_income_status="Active", DAY(Tracking[[#This Row],[Date]])&gt;=Shift_late_income_starting_day),
        DATE(YEAR(Tracking[[#This Row],[Date]]), MONTH(Tracking[[#This Row],[Date]])+1, 1),
         Tracking[[#This Row],[Date]])</f>
        <v>0</v>
      </c>
    </row>
    <row r="43" spans="3:9" x14ac:dyDescent="0.3">
      <c r="C43" s="55"/>
      <c r="D43" s="56"/>
      <c r="E43" s="56"/>
      <c r="F43" s="57"/>
      <c r="G43" s="58"/>
      <c r="H43" s="59" cm="1">
        <f t="array" ref="H43">SUMPRODUCT(Tracking[Amount], --(Tracking[Date]&lt;=Tracking[[#This Row],[Date]]),(Tracking[Type]&lt;&gt;"Income") * (-1) + (Tracking[Type]="Income"))</f>
        <v>0</v>
      </c>
      <c r="I43" s="64">
        <f>IF(AND(Tracking[[#This Row],[Type]]="Income", Shift_late_income_status="Active", DAY(Tracking[[#This Row],[Date]])&gt;=Shift_late_income_starting_day),
        DATE(YEAR(Tracking[[#This Row],[Date]]), MONTH(Tracking[[#This Row],[Date]])+1, 1),
         Tracking[[#This Row],[Date]])</f>
        <v>0</v>
      </c>
    </row>
    <row r="44" spans="3:9" x14ac:dyDescent="0.3">
      <c r="C44" s="55"/>
      <c r="D44" s="56"/>
      <c r="E44" s="56"/>
      <c r="F44" s="57"/>
      <c r="G44" s="58"/>
      <c r="H44" s="59" cm="1">
        <f t="array" ref="H44">SUMPRODUCT(Tracking[Amount], --(Tracking[Date]&lt;=Tracking[[#This Row],[Date]]),(Tracking[Type]&lt;&gt;"Income") * (-1) + (Tracking[Type]="Income"))</f>
        <v>0</v>
      </c>
      <c r="I44" s="64">
        <f>IF(AND(Tracking[[#This Row],[Type]]="Income", Shift_late_income_status="Active", DAY(Tracking[[#This Row],[Date]])&gt;=Shift_late_income_starting_day),
        DATE(YEAR(Tracking[[#This Row],[Date]]), MONTH(Tracking[[#This Row],[Date]])+1, 1),
         Tracking[[#This Row],[Date]])</f>
        <v>0</v>
      </c>
    </row>
    <row r="45" spans="3:9" x14ac:dyDescent="0.3">
      <c r="C45" s="55"/>
      <c r="D45" s="56"/>
      <c r="E45" s="56"/>
      <c r="F45" s="57"/>
      <c r="G45" s="58"/>
      <c r="H45" s="59" cm="1">
        <f t="array" ref="H45">SUMPRODUCT(Tracking[Amount], --(Tracking[Date]&lt;=Tracking[[#This Row],[Date]]),(Tracking[Type]&lt;&gt;"Income") * (-1) + (Tracking[Type]="Income"))</f>
        <v>0</v>
      </c>
      <c r="I45" s="64">
        <f>IF(AND(Tracking[[#This Row],[Type]]="Income", Shift_late_income_status="Active", DAY(Tracking[[#This Row],[Date]])&gt;=Shift_late_income_starting_day),
        DATE(YEAR(Tracking[[#This Row],[Date]]), MONTH(Tracking[[#This Row],[Date]])+1, 1),
         Tracking[[#This Row],[Date]])</f>
        <v>0</v>
      </c>
    </row>
    <row r="46" spans="3:9" x14ac:dyDescent="0.3">
      <c r="C46" s="55"/>
      <c r="D46" s="56"/>
      <c r="E46" s="56"/>
      <c r="F46" s="57"/>
      <c r="G46" s="58"/>
      <c r="H46" s="59" cm="1">
        <f t="array" ref="H46">SUMPRODUCT(Tracking[Amount], --(Tracking[Date]&lt;=Tracking[[#This Row],[Date]]),(Tracking[Type]&lt;&gt;"Income") * (-1) + (Tracking[Type]="Income"))</f>
        <v>0</v>
      </c>
      <c r="I46" s="64">
        <f>IF(AND(Tracking[[#This Row],[Type]]="Income", Shift_late_income_status="Active", DAY(Tracking[[#This Row],[Date]])&gt;=Shift_late_income_starting_day),
        DATE(YEAR(Tracking[[#This Row],[Date]]), MONTH(Tracking[[#This Row],[Date]])+1, 1),
         Tracking[[#This Row],[Date]])</f>
        <v>0</v>
      </c>
    </row>
    <row r="47" spans="3:9" x14ac:dyDescent="0.3">
      <c r="C47" s="55"/>
      <c r="D47" s="56"/>
      <c r="E47" s="56"/>
      <c r="F47" s="57"/>
      <c r="G47" s="58"/>
      <c r="H47" s="59" cm="1">
        <f t="array" ref="H47">SUMPRODUCT(Tracking[Amount], --(Tracking[Date]&lt;=Tracking[[#This Row],[Date]]),(Tracking[Type]&lt;&gt;"Income") * (-1) + (Tracking[Type]="Income"))</f>
        <v>0</v>
      </c>
      <c r="I47" s="64">
        <f>IF(AND(Tracking[[#This Row],[Type]]="Income", Shift_late_income_status="Active", DAY(Tracking[[#This Row],[Date]])&gt;=Shift_late_income_starting_day),
        DATE(YEAR(Tracking[[#This Row],[Date]]), MONTH(Tracking[[#This Row],[Date]])+1, 1),
         Tracking[[#This Row],[Date]])</f>
        <v>0</v>
      </c>
    </row>
    <row r="48" spans="3:9" x14ac:dyDescent="0.3">
      <c r="C48" s="55"/>
      <c r="D48" s="56"/>
      <c r="E48" s="56"/>
      <c r="F48" s="57"/>
      <c r="G48" s="58"/>
      <c r="H48" s="59" cm="1">
        <f t="array" ref="H48">SUMPRODUCT(Tracking[Amount], --(Tracking[Date]&lt;=Tracking[[#This Row],[Date]]),(Tracking[Type]&lt;&gt;"Income") * (-1) + (Tracking[Type]="Income"))</f>
        <v>0</v>
      </c>
      <c r="I48" s="64">
        <f>IF(AND(Tracking[[#This Row],[Type]]="Income", Shift_late_income_status="Active", DAY(Tracking[[#This Row],[Date]])&gt;=Shift_late_income_starting_day),
        DATE(YEAR(Tracking[[#This Row],[Date]]), MONTH(Tracking[[#This Row],[Date]])+1, 1),
         Tracking[[#This Row],[Date]])</f>
        <v>0</v>
      </c>
    </row>
    <row r="49" spans="3:9" x14ac:dyDescent="0.3">
      <c r="C49" s="55"/>
      <c r="D49" s="56"/>
      <c r="E49" s="56"/>
      <c r="F49" s="57"/>
      <c r="G49" s="58"/>
      <c r="H49" s="59" cm="1">
        <f t="array" ref="H49">SUMPRODUCT(Tracking[Amount], --(Tracking[Date]&lt;=Tracking[[#This Row],[Date]]),(Tracking[Type]&lt;&gt;"Income") * (-1) + (Tracking[Type]="Income"))</f>
        <v>0</v>
      </c>
      <c r="I49" s="64">
        <f>IF(AND(Tracking[[#This Row],[Type]]="Income", Shift_late_income_status="Active", DAY(Tracking[[#This Row],[Date]])&gt;=Shift_late_income_starting_day),
        DATE(YEAR(Tracking[[#This Row],[Date]]), MONTH(Tracking[[#This Row],[Date]])+1, 1),
         Tracking[[#This Row],[Date]])</f>
        <v>0</v>
      </c>
    </row>
    <row r="50" spans="3:9" x14ac:dyDescent="0.3">
      <c r="C50" s="55"/>
      <c r="D50" s="56"/>
      <c r="E50" s="56"/>
      <c r="F50" s="57"/>
      <c r="G50" s="58"/>
      <c r="H50" s="59" cm="1">
        <f t="array" ref="H50">SUMPRODUCT(Tracking[Amount], --(Tracking[Date]&lt;=Tracking[[#This Row],[Date]]),(Tracking[Type]&lt;&gt;"Income") * (-1) + (Tracking[Type]="Income"))</f>
        <v>0</v>
      </c>
      <c r="I50" s="64">
        <f>IF(AND(Tracking[[#This Row],[Type]]="Income", Shift_late_income_status="Active", DAY(Tracking[[#This Row],[Date]])&gt;=Shift_late_income_starting_day),
        DATE(YEAR(Tracking[[#This Row],[Date]]), MONTH(Tracking[[#This Row],[Date]])+1, 1),
         Tracking[[#This Row],[Date]])</f>
        <v>0</v>
      </c>
    </row>
    <row r="51" spans="3:9" x14ac:dyDescent="0.3">
      <c r="C51" s="55"/>
      <c r="D51" s="56"/>
      <c r="E51" s="56"/>
      <c r="F51" s="57"/>
      <c r="G51" s="58"/>
      <c r="H51" s="59" cm="1">
        <f t="array" ref="H51">SUMPRODUCT(Tracking[Amount], --(Tracking[Date]&lt;=Tracking[[#This Row],[Date]]),(Tracking[Type]&lt;&gt;"Income") * (-1) + (Tracking[Type]="Income"))</f>
        <v>0</v>
      </c>
      <c r="I51" s="64">
        <f>IF(AND(Tracking[[#This Row],[Type]]="Income", Shift_late_income_status="Active", DAY(Tracking[[#This Row],[Date]])&gt;=Shift_late_income_starting_day),
        DATE(YEAR(Tracking[[#This Row],[Date]]), MONTH(Tracking[[#This Row],[Date]])+1, 1),
         Tracking[[#This Row],[Date]])</f>
        <v>0</v>
      </c>
    </row>
    <row r="52" spans="3:9" x14ac:dyDescent="0.3">
      <c r="C52" s="55"/>
      <c r="D52" s="56"/>
      <c r="E52" s="56"/>
      <c r="F52" s="57"/>
      <c r="G52" s="58"/>
      <c r="H52" s="59" cm="1">
        <f t="array" ref="H52">SUMPRODUCT(Tracking[Amount], --(Tracking[Date]&lt;=Tracking[[#This Row],[Date]]),(Tracking[Type]&lt;&gt;"Income") * (-1) + (Tracking[Type]="Income"))</f>
        <v>0</v>
      </c>
      <c r="I52" s="64">
        <f>IF(AND(Tracking[[#This Row],[Type]]="Income", Shift_late_income_status="Active", DAY(Tracking[[#This Row],[Date]])&gt;=Shift_late_income_starting_day),
        DATE(YEAR(Tracking[[#This Row],[Date]]), MONTH(Tracking[[#This Row],[Date]])+1, 1),
         Tracking[[#This Row],[Date]])</f>
        <v>0</v>
      </c>
    </row>
    <row r="53" spans="3:9" x14ac:dyDescent="0.3">
      <c r="C53" s="55"/>
      <c r="D53" s="56"/>
      <c r="E53" s="56"/>
      <c r="F53" s="57"/>
      <c r="G53" s="58"/>
      <c r="H53" s="59" cm="1">
        <f t="array" ref="H53">SUMPRODUCT(Tracking[Amount], --(Tracking[Date]&lt;=Tracking[[#This Row],[Date]]),(Tracking[Type]&lt;&gt;"Income") * (-1) + (Tracking[Type]="Income"))</f>
        <v>0</v>
      </c>
      <c r="I53" s="64">
        <f>IF(AND(Tracking[[#This Row],[Type]]="Income", Shift_late_income_status="Active", DAY(Tracking[[#This Row],[Date]])&gt;=Shift_late_income_starting_day),
        DATE(YEAR(Tracking[[#This Row],[Date]]), MONTH(Tracking[[#This Row],[Date]])+1, 1),
         Tracking[[#This Row],[Date]])</f>
        <v>0</v>
      </c>
    </row>
    <row r="54" spans="3:9" x14ac:dyDescent="0.3">
      <c r="C54" s="55"/>
      <c r="D54" s="56"/>
      <c r="E54" s="56"/>
      <c r="F54" s="57"/>
      <c r="G54" s="58"/>
      <c r="H54" s="59" cm="1">
        <f t="array" ref="H54">SUMPRODUCT(Tracking[Amount], --(Tracking[Date]&lt;=Tracking[[#This Row],[Date]]),(Tracking[Type]&lt;&gt;"Income") * (-1) + (Tracking[Type]="Income"))</f>
        <v>0</v>
      </c>
      <c r="I54" s="64">
        <f>IF(AND(Tracking[[#This Row],[Type]]="Income", Shift_late_income_status="Active", DAY(Tracking[[#This Row],[Date]])&gt;=Shift_late_income_starting_day),
        DATE(YEAR(Tracking[[#This Row],[Date]]), MONTH(Tracking[[#This Row],[Date]])+1, 1),
         Tracking[[#This Row],[Date]])</f>
        <v>0</v>
      </c>
    </row>
    <row r="55" spans="3:9" x14ac:dyDescent="0.3">
      <c r="C55" s="55"/>
      <c r="D55" s="56"/>
      <c r="E55" s="56"/>
      <c r="F55" s="57"/>
      <c r="G55" s="58"/>
      <c r="H55" s="59" cm="1">
        <f t="array" ref="H55">SUMPRODUCT(Tracking[Amount], --(Tracking[Date]&lt;=Tracking[[#This Row],[Date]]),(Tracking[Type]&lt;&gt;"Income") * (-1) + (Tracking[Type]="Income"))</f>
        <v>0</v>
      </c>
      <c r="I55" s="64">
        <f>IF(AND(Tracking[[#This Row],[Type]]="Income", Shift_late_income_status="Active", DAY(Tracking[[#This Row],[Date]])&gt;=Shift_late_income_starting_day),
        DATE(YEAR(Tracking[[#This Row],[Date]]), MONTH(Tracking[[#This Row],[Date]])+1, 1),
         Tracking[[#This Row],[Date]])</f>
        <v>0</v>
      </c>
    </row>
    <row r="56" spans="3:9" x14ac:dyDescent="0.3">
      <c r="C56" s="55"/>
      <c r="D56" s="56"/>
      <c r="E56" s="56"/>
      <c r="F56" s="57"/>
      <c r="G56" s="58"/>
      <c r="H56" s="59" cm="1">
        <f t="array" ref="H56">SUMPRODUCT(Tracking[Amount], --(Tracking[Date]&lt;=Tracking[[#This Row],[Date]]),(Tracking[Type]&lt;&gt;"Income") * (-1) + (Tracking[Type]="Income"))</f>
        <v>0</v>
      </c>
      <c r="I56" s="64">
        <f>IF(AND(Tracking[[#This Row],[Type]]="Income", Shift_late_income_status="Active", DAY(Tracking[[#This Row],[Date]])&gt;=Shift_late_income_starting_day),
        DATE(YEAR(Tracking[[#This Row],[Date]]), MONTH(Tracking[[#This Row],[Date]])+1, 1),
         Tracking[[#This Row],[Date]])</f>
        <v>0</v>
      </c>
    </row>
    <row r="57" spans="3:9" x14ac:dyDescent="0.3">
      <c r="C57" s="55"/>
      <c r="D57" s="56"/>
      <c r="E57" s="56"/>
      <c r="F57" s="57"/>
      <c r="G57" s="58"/>
      <c r="H57" s="59" cm="1">
        <f t="array" ref="H57">SUMPRODUCT(Tracking[Amount], --(Tracking[Date]&lt;=Tracking[[#This Row],[Date]]),(Tracking[Type]&lt;&gt;"Income") * (-1) + (Tracking[Type]="Income"))</f>
        <v>0</v>
      </c>
      <c r="I57" s="64">
        <f>IF(AND(Tracking[[#This Row],[Type]]="Income", Shift_late_income_status="Active", DAY(Tracking[[#This Row],[Date]])&gt;=Shift_late_income_starting_day),
        DATE(YEAR(Tracking[[#This Row],[Date]]), MONTH(Tracking[[#This Row],[Date]])+1, 1),
         Tracking[[#This Row],[Date]])</f>
        <v>0</v>
      </c>
    </row>
    <row r="58" spans="3:9" x14ac:dyDescent="0.3">
      <c r="C58" s="55"/>
      <c r="D58" s="56"/>
      <c r="E58" s="56"/>
      <c r="F58" s="57"/>
      <c r="G58" s="58"/>
      <c r="H58" s="59" cm="1">
        <f t="array" ref="H58">SUMPRODUCT(Tracking[Amount], --(Tracking[Date]&lt;=Tracking[[#This Row],[Date]]),(Tracking[Type]&lt;&gt;"Income") * (-1) + (Tracking[Type]="Income"))</f>
        <v>0</v>
      </c>
      <c r="I58" s="64">
        <f>IF(AND(Tracking[[#This Row],[Type]]="Income", Shift_late_income_status="Active", DAY(Tracking[[#This Row],[Date]])&gt;=Shift_late_income_starting_day),
        DATE(YEAR(Tracking[[#This Row],[Date]]), MONTH(Tracking[[#This Row],[Date]])+1, 1),
         Tracking[[#This Row],[Date]])</f>
        <v>0</v>
      </c>
    </row>
    <row r="59" spans="3:9" x14ac:dyDescent="0.3">
      <c r="C59" s="55"/>
      <c r="D59" s="56"/>
      <c r="E59" s="56"/>
      <c r="F59" s="57"/>
      <c r="G59" s="58"/>
      <c r="H59" s="59" cm="1">
        <f t="array" ref="H59">SUMPRODUCT(Tracking[Amount], --(Tracking[Date]&lt;=Tracking[[#This Row],[Date]]),(Tracking[Type]&lt;&gt;"Income") * (-1) + (Tracking[Type]="Income"))</f>
        <v>0</v>
      </c>
      <c r="I59" s="64">
        <f>IF(AND(Tracking[[#This Row],[Type]]="Income", Shift_late_income_status="Active", DAY(Tracking[[#This Row],[Date]])&gt;=Shift_late_income_starting_day),
        DATE(YEAR(Tracking[[#This Row],[Date]]), MONTH(Tracking[[#This Row],[Date]])+1, 1),
         Tracking[[#This Row],[Date]])</f>
        <v>0</v>
      </c>
    </row>
    <row r="60" spans="3:9" x14ac:dyDescent="0.3">
      <c r="C60" s="55"/>
      <c r="D60" s="56"/>
      <c r="E60" s="56"/>
      <c r="F60" s="57"/>
      <c r="G60" s="58"/>
      <c r="H60" s="59" cm="1">
        <f t="array" ref="H60">SUMPRODUCT(Tracking[Amount], --(Tracking[Date]&lt;=Tracking[[#This Row],[Date]]),(Tracking[Type]&lt;&gt;"Income") * (-1) + (Tracking[Type]="Income"))</f>
        <v>0</v>
      </c>
      <c r="I60" s="64">
        <f>IF(AND(Tracking[[#This Row],[Type]]="Income", Shift_late_income_status="Active", DAY(Tracking[[#This Row],[Date]])&gt;=Shift_late_income_starting_day),
        DATE(YEAR(Tracking[[#This Row],[Date]]), MONTH(Tracking[[#This Row],[Date]])+1, 1),
         Tracking[[#This Row],[Date]])</f>
        <v>0</v>
      </c>
    </row>
    <row r="61" spans="3:9" x14ac:dyDescent="0.3">
      <c r="C61" s="55"/>
      <c r="D61" s="56"/>
      <c r="E61" s="56"/>
      <c r="F61" s="57"/>
      <c r="G61" s="58"/>
      <c r="H61" s="59" cm="1">
        <f t="array" ref="H61">SUMPRODUCT(Tracking[Amount], --(Tracking[Date]&lt;=Tracking[[#This Row],[Date]]),(Tracking[Type]&lt;&gt;"Income") * (-1) + (Tracking[Type]="Income"))</f>
        <v>0</v>
      </c>
      <c r="I61" s="64">
        <f>IF(AND(Tracking[[#This Row],[Type]]="Income", Shift_late_income_status="Active", DAY(Tracking[[#This Row],[Date]])&gt;=Shift_late_income_starting_day),
        DATE(YEAR(Tracking[[#This Row],[Date]]), MONTH(Tracking[[#This Row],[Date]])+1, 1),
         Tracking[[#This Row],[Date]])</f>
        <v>0</v>
      </c>
    </row>
    <row r="62" spans="3:9" x14ac:dyDescent="0.3">
      <c r="C62" s="55"/>
      <c r="D62" s="56"/>
      <c r="E62" s="56"/>
      <c r="F62" s="57"/>
      <c r="G62" s="58"/>
      <c r="H62" s="59" cm="1">
        <f t="array" ref="H62">SUMPRODUCT(Tracking[Amount], --(Tracking[Date]&lt;=Tracking[[#This Row],[Date]]),(Tracking[Type]&lt;&gt;"Income") * (-1) + (Tracking[Type]="Income"))</f>
        <v>0</v>
      </c>
      <c r="I62" s="64">
        <f>IF(AND(Tracking[[#This Row],[Type]]="Income", Shift_late_income_status="Active", DAY(Tracking[[#This Row],[Date]])&gt;=Shift_late_income_starting_day),
        DATE(YEAR(Tracking[[#This Row],[Date]]), MONTH(Tracking[[#This Row],[Date]])+1, 1),
         Tracking[[#This Row],[Date]])</f>
        <v>0</v>
      </c>
    </row>
    <row r="63" spans="3:9" x14ac:dyDescent="0.3">
      <c r="C63" s="55"/>
      <c r="D63" s="56"/>
      <c r="E63" s="56"/>
      <c r="F63" s="57"/>
      <c r="G63" s="58"/>
      <c r="H63" s="59" cm="1">
        <f t="array" ref="H63">SUMPRODUCT(Tracking[Amount], --(Tracking[Date]&lt;=Tracking[[#This Row],[Date]]),(Tracking[Type]&lt;&gt;"Income") * (-1) + (Tracking[Type]="Income"))</f>
        <v>0</v>
      </c>
      <c r="I63" s="64">
        <f>IF(AND(Tracking[[#This Row],[Type]]="Income", Shift_late_income_status="Active", DAY(Tracking[[#This Row],[Date]])&gt;=Shift_late_income_starting_day),
        DATE(YEAR(Tracking[[#This Row],[Date]]), MONTH(Tracking[[#This Row],[Date]])+1, 1),
         Tracking[[#This Row],[Date]])</f>
        <v>0</v>
      </c>
    </row>
    <row r="64" spans="3:9" x14ac:dyDescent="0.3">
      <c r="C64" s="55"/>
      <c r="D64" s="56"/>
      <c r="E64" s="56"/>
      <c r="F64" s="57"/>
      <c r="G64" s="58"/>
      <c r="H64" s="59" cm="1">
        <f t="array" ref="H64">SUMPRODUCT(Tracking[Amount], --(Tracking[Date]&lt;=Tracking[[#This Row],[Date]]),(Tracking[Type]&lt;&gt;"Income") * (-1) + (Tracking[Type]="Income"))</f>
        <v>0</v>
      </c>
      <c r="I64" s="64">
        <f>IF(AND(Tracking[[#This Row],[Type]]="Income", Shift_late_income_status="Active", DAY(Tracking[[#This Row],[Date]])&gt;=Shift_late_income_starting_day),
        DATE(YEAR(Tracking[[#This Row],[Date]]), MONTH(Tracking[[#This Row],[Date]])+1, 1),
         Tracking[[#This Row],[Date]])</f>
        <v>0</v>
      </c>
    </row>
    <row r="65" spans="3:9" x14ac:dyDescent="0.3">
      <c r="C65" s="55"/>
      <c r="D65" s="56"/>
      <c r="E65" s="56"/>
      <c r="F65" s="57"/>
      <c r="G65" s="58"/>
      <c r="H65" s="59" cm="1">
        <f t="array" ref="H65">SUMPRODUCT(Tracking[Amount], --(Tracking[Date]&lt;=Tracking[[#This Row],[Date]]),(Tracking[Type]&lt;&gt;"Income") * (-1) + (Tracking[Type]="Income"))</f>
        <v>0</v>
      </c>
      <c r="I65" s="64">
        <f>IF(AND(Tracking[[#This Row],[Type]]="Income", Shift_late_income_status="Active", DAY(Tracking[[#This Row],[Date]])&gt;=Shift_late_income_starting_day),
        DATE(YEAR(Tracking[[#This Row],[Date]]), MONTH(Tracking[[#This Row],[Date]])+1, 1),
         Tracking[[#This Row],[Date]])</f>
        <v>0</v>
      </c>
    </row>
    <row r="66" spans="3:9" x14ac:dyDescent="0.3">
      <c r="C66" s="55"/>
      <c r="D66" s="56"/>
      <c r="E66" s="56"/>
      <c r="F66" s="57"/>
      <c r="G66" s="58"/>
      <c r="H66" s="59" cm="1">
        <f t="array" ref="H66">SUMPRODUCT(Tracking[Amount], --(Tracking[Date]&lt;=Tracking[[#This Row],[Date]]),(Tracking[Type]&lt;&gt;"Income") * (-1) + (Tracking[Type]="Income"))</f>
        <v>0</v>
      </c>
      <c r="I66" s="64">
        <f>IF(AND(Tracking[[#This Row],[Type]]="Income", Shift_late_income_status="Active", DAY(Tracking[[#This Row],[Date]])&gt;=Shift_late_income_starting_day),
        DATE(YEAR(Tracking[[#This Row],[Date]]), MONTH(Tracking[[#This Row],[Date]])+1, 1),
         Tracking[[#This Row],[Date]])</f>
        <v>0</v>
      </c>
    </row>
    <row r="67" spans="3:9" x14ac:dyDescent="0.3">
      <c r="C67" s="55"/>
      <c r="D67" s="56"/>
      <c r="E67" s="56"/>
      <c r="F67" s="57"/>
      <c r="G67" s="58"/>
      <c r="H67" s="59" cm="1">
        <f t="array" ref="H67">SUMPRODUCT(Tracking[Amount], --(Tracking[Date]&lt;=Tracking[[#This Row],[Date]]),(Tracking[Type]&lt;&gt;"Income") * (-1) + (Tracking[Type]="Income"))</f>
        <v>0</v>
      </c>
      <c r="I67" s="64">
        <f>IF(AND(Tracking[[#This Row],[Type]]="Income", Shift_late_income_status="Active", DAY(Tracking[[#This Row],[Date]])&gt;=Shift_late_income_starting_day),
        DATE(YEAR(Tracking[[#This Row],[Date]]), MONTH(Tracking[[#This Row],[Date]])+1, 1),
         Tracking[[#This Row],[Date]])</f>
        <v>0</v>
      </c>
    </row>
    <row r="68" spans="3:9" x14ac:dyDescent="0.3">
      <c r="C68" s="55"/>
      <c r="D68" s="56"/>
      <c r="E68" s="56"/>
      <c r="F68" s="57"/>
      <c r="G68" s="58"/>
      <c r="H68" s="59" cm="1">
        <f t="array" ref="H68">SUMPRODUCT(Tracking[Amount], --(Tracking[Date]&lt;=Tracking[[#This Row],[Date]]),(Tracking[Type]&lt;&gt;"Income") * (-1) + (Tracking[Type]="Income"))</f>
        <v>0</v>
      </c>
      <c r="I68" s="64">
        <f>IF(AND(Tracking[[#This Row],[Type]]="Income", Shift_late_income_status="Active", DAY(Tracking[[#This Row],[Date]])&gt;=Shift_late_income_starting_day),
        DATE(YEAR(Tracking[[#This Row],[Date]]), MONTH(Tracking[[#This Row],[Date]])+1, 1),
         Tracking[[#This Row],[Date]])</f>
        <v>0</v>
      </c>
    </row>
    <row r="69" spans="3:9" x14ac:dyDescent="0.3">
      <c r="C69" s="55"/>
      <c r="D69" s="56"/>
      <c r="E69" s="56"/>
      <c r="F69" s="57"/>
      <c r="G69" s="58"/>
      <c r="H69" s="59" cm="1">
        <f t="array" ref="H69">SUMPRODUCT(Tracking[Amount], --(Tracking[Date]&lt;=Tracking[[#This Row],[Date]]),(Tracking[Type]&lt;&gt;"Income") * (-1) + (Tracking[Type]="Income"))</f>
        <v>0</v>
      </c>
      <c r="I69" s="64">
        <f>IF(AND(Tracking[[#This Row],[Type]]="Income", Shift_late_income_status="Active", DAY(Tracking[[#This Row],[Date]])&gt;=Shift_late_income_starting_day),
        DATE(YEAR(Tracking[[#This Row],[Date]]), MONTH(Tracking[[#This Row],[Date]])+1, 1),
         Tracking[[#This Row],[Date]])</f>
        <v>0</v>
      </c>
    </row>
    <row r="70" spans="3:9" x14ac:dyDescent="0.3">
      <c r="C70" s="55"/>
      <c r="D70" s="56"/>
      <c r="E70" s="56"/>
      <c r="F70" s="57"/>
      <c r="G70" s="58"/>
      <c r="H70" s="59" cm="1">
        <f t="array" ref="H70">SUMPRODUCT(Tracking[Amount], --(Tracking[Date]&lt;=Tracking[[#This Row],[Date]]),(Tracking[Type]&lt;&gt;"Income") * (-1) + (Tracking[Type]="Income"))</f>
        <v>0</v>
      </c>
      <c r="I70" s="64">
        <f>IF(AND(Tracking[[#This Row],[Type]]="Income", Shift_late_income_status="Active", DAY(Tracking[[#This Row],[Date]])&gt;=Shift_late_income_starting_day),
        DATE(YEAR(Tracking[[#This Row],[Date]]), MONTH(Tracking[[#This Row],[Date]])+1, 1),
         Tracking[[#This Row],[Date]])</f>
        <v>0</v>
      </c>
    </row>
    <row r="71" spans="3:9" x14ac:dyDescent="0.3">
      <c r="C71" s="55"/>
      <c r="D71" s="56"/>
      <c r="E71" s="56"/>
      <c r="F71" s="57"/>
      <c r="G71" s="58"/>
      <c r="H71" s="59" cm="1">
        <f t="array" ref="H71">SUMPRODUCT(Tracking[Amount], --(Tracking[Date]&lt;=Tracking[[#This Row],[Date]]),(Tracking[Type]&lt;&gt;"Income") * (-1) + (Tracking[Type]="Income"))</f>
        <v>0</v>
      </c>
      <c r="I71" s="64">
        <f>IF(AND(Tracking[[#This Row],[Type]]="Income", Shift_late_income_status="Active", DAY(Tracking[[#This Row],[Date]])&gt;=Shift_late_income_starting_day),
        DATE(YEAR(Tracking[[#This Row],[Date]]), MONTH(Tracking[[#This Row],[Date]])+1, 1),
         Tracking[[#This Row],[Date]])</f>
        <v>0</v>
      </c>
    </row>
    <row r="72" spans="3:9" x14ac:dyDescent="0.3">
      <c r="C72" s="55"/>
      <c r="D72" s="56"/>
      <c r="E72" s="56"/>
      <c r="F72" s="57"/>
      <c r="G72" s="58"/>
      <c r="H72" s="59" cm="1">
        <f t="array" ref="H72">SUMPRODUCT(Tracking[Amount], --(Tracking[Date]&lt;=Tracking[[#This Row],[Date]]),(Tracking[Type]&lt;&gt;"Income") * (-1) + (Tracking[Type]="Income"))</f>
        <v>0</v>
      </c>
      <c r="I72" s="64">
        <f>IF(AND(Tracking[[#This Row],[Type]]="Income", Shift_late_income_status="Active", DAY(Tracking[[#This Row],[Date]])&gt;=Shift_late_income_starting_day),
        DATE(YEAR(Tracking[[#This Row],[Date]]), MONTH(Tracking[[#This Row],[Date]])+1, 1),
         Tracking[[#This Row],[Date]])</f>
        <v>0</v>
      </c>
    </row>
    <row r="73" spans="3:9" x14ac:dyDescent="0.3">
      <c r="C73" s="55"/>
      <c r="D73" s="56"/>
      <c r="E73" s="56"/>
      <c r="F73" s="57"/>
      <c r="G73" s="58"/>
      <c r="H73" s="59" cm="1">
        <f t="array" ref="H73">SUMPRODUCT(Tracking[Amount], --(Tracking[Date]&lt;=Tracking[[#This Row],[Date]]),(Tracking[Type]&lt;&gt;"Income") * (-1) + (Tracking[Type]="Income"))</f>
        <v>0</v>
      </c>
      <c r="I73" s="64">
        <f>IF(AND(Tracking[[#This Row],[Type]]="Income", Shift_late_income_status="Active", DAY(Tracking[[#This Row],[Date]])&gt;=Shift_late_income_starting_day),
        DATE(YEAR(Tracking[[#This Row],[Date]]), MONTH(Tracking[[#This Row],[Date]])+1, 1),
         Tracking[[#This Row],[Date]])</f>
        <v>0</v>
      </c>
    </row>
    <row r="74" spans="3:9" x14ac:dyDescent="0.3">
      <c r="C74" s="55"/>
      <c r="D74" s="56"/>
      <c r="E74" s="56"/>
      <c r="F74" s="57"/>
      <c r="G74" s="58"/>
      <c r="H74" s="59" cm="1">
        <f t="array" ref="H74">SUMPRODUCT(Tracking[Amount], --(Tracking[Date]&lt;=Tracking[[#This Row],[Date]]),(Tracking[Type]&lt;&gt;"Income") * (-1) + (Tracking[Type]="Income"))</f>
        <v>0</v>
      </c>
      <c r="I74" s="64">
        <f>IF(AND(Tracking[[#This Row],[Type]]="Income", Shift_late_income_status="Active", DAY(Tracking[[#This Row],[Date]])&gt;=Shift_late_income_starting_day),
        DATE(YEAR(Tracking[[#This Row],[Date]]), MONTH(Tracking[[#This Row],[Date]])+1, 1),
         Tracking[[#This Row],[Date]])</f>
        <v>0</v>
      </c>
    </row>
    <row r="75" spans="3:9" x14ac:dyDescent="0.3">
      <c r="C75" s="55"/>
      <c r="D75" s="56"/>
      <c r="E75" s="56"/>
      <c r="F75" s="57"/>
      <c r="G75" s="58"/>
      <c r="H75" s="59" cm="1">
        <f t="array" ref="H75">SUMPRODUCT(Tracking[Amount], --(Tracking[Date]&lt;=Tracking[[#This Row],[Date]]),(Tracking[Type]&lt;&gt;"Income") * (-1) + (Tracking[Type]="Income"))</f>
        <v>0</v>
      </c>
      <c r="I75" s="64">
        <f>IF(AND(Tracking[[#This Row],[Type]]="Income", Shift_late_income_status="Active", DAY(Tracking[[#This Row],[Date]])&gt;=Shift_late_income_starting_day),
        DATE(YEAR(Tracking[[#This Row],[Date]]), MONTH(Tracking[[#This Row],[Date]])+1, 1),
         Tracking[[#This Row],[Date]])</f>
        <v>0</v>
      </c>
    </row>
    <row r="76" spans="3:9" x14ac:dyDescent="0.3">
      <c r="C76" s="55"/>
      <c r="D76" s="56"/>
      <c r="E76" s="56"/>
      <c r="F76" s="57"/>
      <c r="G76" s="58"/>
      <c r="H76" s="59" cm="1">
        <f t="array" ref="H76">SUMPRODUCT(Tracking[Amount], --(Tracking[Date]&lt;=Tracking[[#This Row],[Date]]),(Tracking[Type]&lt;&gt;"Income") * (-1) + (Tracking[Type]="Income"))</f>
        <v>0</v>
      </c>
      <c r="I76" s="64">
        <f>IF(AND(Tracking[[#This Row],[Type]]="Income", Shift_late_income_status="Active", DAY(Tracking[[#This Row],[Date]])&gt;=Shift_late_income_starting_day),
        DATE(YEAR(Tracking[[#This Row],[Date]]), MONTH(Tracking[[#This Row],[Date]])+1, 1),
         Tracking[[#This Row],[Date]])</f>
        <v>0</v>
      </c>
    </row>
    <row r="77" spans="3:9" x14ac:dyDescent="0.3">
      <c r="C77" s="55"/>
      <c r="D77" s="56"/>
      <c r="E77" s="56"/>
      <c r="F77" s="57"/>
      <c r="G77" s="58"/>
      <c r="H77" s="59" cm="1">
        <f t="array" ref="H77">SUMPRODUCT(Tracking[Amount], --(Tracking[Date]&lt;=Tracking[[#This Row],[Date]]),(Tracking[Type]&lt;&gt;"Income") * (-1) + (Tracking[Type]="Income"))</f>
        <v>0</v>
      </c>
      <c r="I77" s="64">
        <f>IF(AND(Tracking[[#This Row],[Type]]="Income", Shift_late_income_status="Active", DAY(Tracking[[#This Row],[Date]])&gt;=Shift_late_income_starting_day),
        DATE(YEAR(Tracking[[#This Row],[Date]]), MONTH(Tracking[[#This Row],[Date]])+1, 1),
         Tracking[[#This Row],[Date]])</f>
        <v>0</v>
      </c>
    </row>
    <row r="78" spans="3:9" x14ac:dyDescent="0.3">
      <c r="C78" s="55"/>
      <c r="D78" s="56"/>
      <c r="E78" s="56"/>
      <c r="F78" s="57"/>
      <c r="G78" s="58"/>
      <c r="H78" s="59" cm="1">
        <f t="array" ref="H78">SUMPRODUCT(Tracking[Amount], --(Tracking[Date]&lt;=Tracking[[#This Row],[Date]]),(Tracking[Type]&lt;&gt;"Income") * (-1) + (Tracking[Type]="Income"))</f>
        <v>0</v>
      </c>
      <c r="I78" s="64">
        <f>IF(AND(Tracking[[#This Row],[Type]]="Income", Shift_late_income_status="Active", DAY(Tracking[[#This Row],[Date]])&gt;=Shift_late_income_starting_day),
        DATE(YEAR(Tracking[[#This Row],[Date]]), MONTH(Tracking[[#This Row],[Date]])+1, 1),
         Tracking[[#This Row],[Date]])</f>
        <v>0</v>
      </c>
    </row>
    <row r="79" spans="3:9" x14ac:dyDescent="0.3">
      <c r="C79" s="55"/>
      <c r="D79" s="56"/>
      <c r="E79" s="56"/>
      <c r="F79" s="57"/>
      <c r="G79" s="58"/>
      <c r="H79" s="59" cm="1">
        <f t="array" ref="H79">SUMPRODUCT(Tracking[Amount], --(Tracking[Date]&lt;=Tracking[[#This Row],[Date]]),(Tracking[Type]&lt;&gt;"Income") * (-1) + (Tracking[Type]="Income"))</f>
        <v>0</v>
      </c>
      <c r="I79" s="64">
        <f>IF(AND(Tracking[[#This Row],[Type]]="Income", Shift_late_income_status="Active", DAY(Tracking[[#This Row],[Date]])&gt;=Shift_late_income_starting_day),
        DATE(YEAR(Tracking[[#This Row],[Date]]), MONTH(Tracking[[#This Row],[Date]])+1, 1),
         Tracking[[#This Row],[Date]])</f>
        <v>0</v>
      </c>
    </row>
    <row r="80" spans="3:9" x14ac:dyDescent="0.3">
      <c r="C80" s="55"/>
      <c r="D80" s="56"/>
      <c r="E80" s="56"/>
      <c r="F80" s="57"/>
      <c r="G80" s="58"/>
      <c r="H80" s="59" cm="1">
        <f t="array" ref="H80">SUMPRODUCT(Tracking[Amount], --(Tracking[Date]&lt;=Tracking[[#This Row],[Date]]),(Tracking[Type]&lt;&gt;"Income") * (-1) + (Tracking[Type]="Income"))</f>
        <v>0</v>
      </c>
      <c r="I80" s="64">
        <f>IF(AND(Tracking[[#This Row],[Type]]="Income", Shift_late_income_status="Active", DAY(Tracking[[#This Row],[Date]])&gt;=Shift_late_income_starting_day),
        DATE(YEAR(Tracking[[#This Row],[Date]]), MONTH(Tracking[[#This Row],[Date]])+1, 1),
         Tracking[[#This Row],[Date]])</f>
        <v>0</v>
      </c>
    </row>
    <row r="81" spans="3:9" x14ac:dyDescent="0.3">
      <c r="C81" s="55"/>
      <c r="D81" s="56"/>
      <c r="E81" s="56"/>
      <c r="F81" s="57"/>
      <c r="G81" s="58"/>
      <c r="H81" s="59" cm="1">
        <f t="array" ref="H81">SUMPRODUCT(Tracking[Amount], --(Tracking[Date]&lt;=Tracking[[#This Row],[Date]]),(Tracking[Type]&lt;&gt;"Income") * (-1) + (Tracking[Type]="Income"))</f>
        <v>0</v>
      </c>
      <c r="I81" s="64">
        <f>IF(AND(Tracking[[#This Row],[Type]]="Income", Shift_late_income_status="Active", DAY(Tracking[[#This Row],[Date]])&gt;=Shift_late_income_starting_day),
        DATE(YEAR(Tracking[[#This Row],[Date]]), MONTH(Tracking[[#This Row],[Date]])+1, 1),
         Tracking[[#This Row],[Date]])</f>
        <v>0</v>
      </c>
    </row>
    <row r="82" spans="3:9" x14ac:dyDescent="0.3">
      <c r="C82" s="55"/>
      <c r="D82" s="56"/>
      <c r="E82" s="56"/>
      <c r="F82" s="57"/>
      <c r="G82" s="58"/>
      <c r="H82" s="59" cm="1">
        <f t="array" ref="H82">SUMPRODUCT(Tracking[Amount], --(Tracking[Date]&lt;=Tracking[[#This Row],[Date]]),(Tracking[Type]&lt;&gt;"Income") * (-1) + (Tracking[Type]="Income"))</f>
        <v>0</v>
      </c>
      <c r="I82" s="64">
        <f>IF(AND(Tracking[[#This Row],[Type]]="Income", Shift_late_income_status="Active", DAY(Tracking[[#This Row],[Date]])&gt;=Shift_late_income_starting_day),
        DATE(YEAR(Tracking[[#This Row],[Date]]), MONTH(Tracking[[#This Row],[Date]])+1, 1),
         Tracking[[#This Row],[Date]])</f>
        <v>0</v>
      </c>
    </row>
    <row r="83" spans="3:9" x14ac:dyDescent="0.3">
      <c r="C83" s="55"/>
      <c r="D83" s="56"/>
      <c r="E83" s="56"/>
      <c r="F83" s="57"/>
      <c r="G83" s="58"/>
      <c r="H83" s="59" cm="1">
        <f t="array" ref="H83">SUMPRODUCT(Tracking[Amount], --(Tracking[Date]&lt;=Tracking[[#This Row],[Date]]),(Tracking[Type]&lt;&gt;"Income") * (-1) + (Tracking[Type]="Income"))</f>
        <v>0</v>
      </c>
      <c r="I83" s="64">
        <f>IF(AND(Tracking[[#This Row],[Type]]="Income", Shift_late_income_status="Active", DAY(Tracking[[#This Row],[Date]])&gt;=Shift_late_income_starting_day),
        DATE(YEAR(Tracking[[#This Row],[Date]]), MONTH(Tracking[[#This Row],[Date]])+1, 1),
         Tracking[[#This Row],[Date]])</f>
        <v>0</v>
      </c>
    </row>
    <row r="84" spans="3:9" x14ac:dyDescent="0.3">
      <c r="C84" s="55"/>
      <c r="D84" s="56"/>
      <c r="E84" s="56"/>
      <c r="F84" s="57"/>
      <c r="G84" s="58"/>
      <c r="H84" s="59" cm="1">
        <f t="array" ref="H84">SUMPRODUCT(Tracking[Amount], --(Tracking[Date]&lt;=Tracking[[#This Row],[Date]]),(Tracking[Type]&lt;&gt;"Income") * (-1) + (Tracking[Type]="Income"))</f>
        <v>0</v>
      </c>
      <c r="I84" s="64">
        <f>IF(AND(Tracking[[#This Row],[Type]]="Income", Shift_late_income_status="Active", DAY(Tracking[[#This Row],[Date]])&gt;=Shift_late_income_starting_day),
        DATE(YEAR(Tracking[[#This Row],[Date]]), MONTH(Tracking[[#This Row],[Date]])+1, 1),
         Tracking[[#This Row],[Date]])</f>
        <v>0</v>
      </c>
    </row>
    <row r="85" spans="3:9" x14ac:dyDescent="0.3">
      <c r="C85" s="55"/>
      <c r="D85" s="56"/>
      <c r="E85" s="56"/>
      <c r="F85" s="57"/>
      <c r="G85" s="58"/>
      <c r="H85" s="59" cm="1">
        <f t="array" ref="H85">SUMPRODUCT(Tracking[Amount], --(Tracking[Date]&lt;=Tracking[[#This Row],[Date]]),(Tracking[Type]&lt;&gt;"Income") * (-1) + (Tracking[Type]="Income"))</f>
        <v>0</v>
      </c>
      <c r="I85" s="64">
        <f>IF(AND(Tracking[[#This Row],[Type]]="Income", Shift_late_income_status="Active", DAY(Tracking[[#This Row],[Date]])&gt;=Shift_late_income_starting_day),
        DATE(YEAR(Tracking[[#This Row],[Date]]), MONTH(Tracking[[#This Row],[Date]])+1, 1),
         Tracking[[#This Row],[Date]])</f>
        <v>0</v>
      </c>
    </row>
    <row r="86" spans="3:9" x14ac:dyDescent="0.3">
      <c r="C86" s="55"/>
      <c r="D86" s="56"/>
      <c r="E86" s="56"/>
      <c r="F86" s="57"/>
      <c r="G86" s="58"/>
      <c r="H86" s="59" cm="1">
        <f t="array" ref="H86">SUMPRODUCT(Tracking[Amount], --(Tracking[Date]&lt;=Tracking[[#This Row],[Date]]),(Tracking[Type]&lt;&gt;"Income") * (-1) + (Tracking[Type]="Income"))</f>
        <v>0</v>
      </c>
      <c r="I86" s="64">
        <f>IF(AND(Tracking[[#This Row],[Type]]="Income", Shift_late_income_status="Active", DAY(Tracking[[#This Row],[Date]])&gt;=Shift_late_income_starting_day),
        DATE(YEAR(Tracking[[#This Row],[Date]]), MONTH(Tracking[[#This Row],[Date]])+1, 1),
         Tracking[[#This Row],[Date]])</f>
        <v>0</v>
      </c>
    </row>
    <row r="87" spans="3:9" x14ac:dyDescent="0.3">
      <c r="C87" s="55"/>
      <c r="D87" s="56"/>
      <c r="E87" s="56"/>
      <c r="F87" s="57"/>
      <c r="G87" s="58"/>
      <c r="H87" s="59" cm="1">
        <f t="array" ref="H87">SUMPRODUCT(Tracking[Amount], --(Tracking[Date]&lt;=Tracking[[#This Row],[Date]]),(Tracking[Type]&lt;&gt;"Income") * (-1) + (Tracking[Type]="Income"))</f>
        <v>0</v>
      </c>
      <c r="I87" s="64">
        <f>IF(AND(Tracking[[#This Row],[Type]]="Income", Shift_late_income_status="Active", DAY(Tracking[[#This Row],[Date]])&gt;=Shift_late_income_starting_day),
        DATE(YEAR(Tracking[[#This Row],[Date]]), MONTH(Tracking[[#This Row],[Date]])+1, 1),
         Tracking[[#This Row],[Date]])</f>
        <v>0</v>
      </c>
    </row>
    <row r="88" spans="3:9" x14ac:dyDescent="0.3">
      <c r="C88" s="55"/>
      <c r="D88" s="56"/>
      <c r="E88" s="56"/>
      <c r="F88" s="57"/>
      <c r="G88" s="58"/>
      <c r="H88" s="59" cm="1">
        <f t="array" ref="H88">SUMPRODUCT(Tracking[Amount], --(Tracking[Date]&lt;=Tracking[[#This Row],[Date]]),(Tracking[Type]&lt;&gt;"Income") * (-1) + (Tracking[Type]="Income"))</f>
        <v>0</v>
      </c>
      <c r="I88" s="64">
        <f>IF(AND(Tracking[[#This Row],[Type]]="Income", Shift_late_income_status="Active", DAY(Tracking[[#This Row],[Date]])&gt;=Shift_late_income_starting_day),
        DATE(YEAR(Tracking[[#This Row],[Date]]), MONTH(Tracking[[#This Row],[Date]])+1, 1),
         Tracking[[#This Row],[Date]])</f>
        <v>0</v>
      </c>
    </row>
    <row r="89" spans="3:9" x14ac:dyDescent="0.3">
      <c r="C89" s="55"/>
      <c r="D89" s="56"/>
      <c r="E89" s="56"/>
      <c r="F89" s="57"/>
      <c r="G89" s="58"/>
      <c r="H89" s="59" cm="1">
        <f t="array" ref="H89">SUMPRODUCT(Tracking[Amount], --(Tracking[Date]&lt;=Tracking[[#This Row],[Date]]),(Tracking[Type]&lt;&gt;"Income") * (-1) + (Tracking[Type]="Income"))</f>
        <v>0</v>
      </c>
      <c r="I89" s="64">
        <f>IF(AND(Tracking[[#This Row],[Type]]="Income", Shift_late_income_status="Active", DAY(Tracking[[#This Row],[Date]])&gt;=Shift_late_income_starting_day),
        DATE(YEAR(Tracking[[#This Row],[Date]]), MONTH(Tracking[[#This Row],[Date]])+1, 1),
         Tracking[[#This Row],[Date]])</f>
        <v>0</v>
      </c>
    </row>
    <row r="90" spans="3:9" x14ac:dyDescent="0.3">
      <c r="C90" s="55"/>
      <c r="D90" s="56"/>
      <c r="E90" s="56"/>
      <c r="F90" s="57"/>
      <c r="G90" s="58"/>
      <c r="H90" s="59" cm="1">
        <f t="array" ref="H90">SUMPRODUCT(Tracking[Amount], --(Tracking[Date]&lt;=Tracking[[#This Row],[Date]]),(Tracking[Type]&lt;&gt;"Income") * (-1) + (Tracking[Type]="Income"))</f>
        <v>0</v>
      </c>
      <c r="I90" s="64">
        <f>IF(AND(Tracking[[#This Row],[Type]]="Income", Shift_late_income_status="Active", DAY(Tracking[[#This Row],[Date]])&gt;=Shift_late_income_starting_day),
        DATE(YEAR(Tracking[[#This Row],[Date]]), MONTH(Tracking[[#This Row],[Date]])+1, 1),
         Tracking[[#This Row],[Date]])</f>
        <v>0</v>
      </c>
    </row>
    <row r="91" spans="3:9" x14ac:dyDescent="0.3">
      <c r="C91" s="55"/>
      <c r="D91" s="56"/>
      <c r="E91" s="56"/>
      <c r="F91" s="57"/>
      <c r="G91" s="58"/>
      <c r="H91" s="59" cm="1">
        <f t="array" ref="H91">SUMPRODUCT(Tracking[Amount], --(Tracking[Date]&lt;=Tracking[[#This Row],[Date]]),(Tracking[Type]&lt;&gt;"Income") * (-1) + (Tracking[Type]="Income"))</f>
        <v>0</v>
      </c>
      <c r="I91" s="64">
        <f>IF(AND(Tracking[[#This Row],[Type]]="Income", Shift_late_income_status="Active", DAY(Tracking[[#This Row],[Date]])&gt;=Shift_late_income_starting_day),
        DATE(YEAR(Tracking[[#This Row],[Date]]), MONTH(Tracking[[#This Row],[Date]])+1, 1),
         Tracking[[#This Row],[Date]])</f>
        <v>0</v>
      </c>
    </row>
    <row r="92" spans="3:9" x14ac:dyDescent="0.3">
      <c r="C92" s="55"/>
      <c r="D92" s="56"/>
      <c r="E92" s="56"/>
      <c r="F92" s="57"/>
      <c r="G92" s="58"/>
      <c r="H92" s="59" cm="1">
        <f t="array" ref="H92">SUMPRODUCT(Tracking[Amount], --(Tracking[Date]&lt;=Tracking[[#This Row],[Date]]),(Tracking[Type]&lt;&gt;"Income") * (-1) + (Tracking[Type]="Income"))</f>
        <v>0</v>
      </c>
      <c r="I92" s="64">
        <f>IF(AND(Tracking[[#This Row],[Type]]="Income", Shift_late_income_status="Active", DAY(Tracking[[#This Row],[Date]])&gt;=Shift_late_income_starting_day),
        DATE(YEAR(Tracking[[#This Row],[Date]]), MONTH(Tracking[[#This Row],[Date]])+1, 1),
         Tracking[[#This Row],[Date]])</f>
        <v>0</v>
      </c>
    </row>
    <row r="93" spans="3:9" x14ac:dyDescent="0.3">
      <c r="C93" s="55"/>
      <c r="D93" s="56"/>
      <c r="E93" s="56"/>
      <c r="F93" s="57"/>
      <c r="G93" s="58"/>
      <c r="H93" s="59" cm="1">
        <f t="array" ref="H93">SUMPRODUCT(Tracking[Amount], --(Tracking[Date]&lt;=Tracking[[#This Row],[Date]]),(Tracking[Type]&lt;&gt;"Income") * (-1) + (Tracking[Type]="Income"))</f>
        <v>0</v>
      </c>
      <c r="I93" s="64">
        <f>IF(AND(Tracking[[#This Row],[Type]]="Income", Shift_late_income_status="Active", DAY(Tracking[[#This Row],[Date]])&gt;=Shift_late_income_starting_day),
        DATE(YEAR(Tracking[[#This Row],[Date]]), MONTH(Tracking[[#This Row],[Date]])+1, 1),
         Tracking[[#This Row],[Date]])</f>
        <v>0</v>
      </c>
    </row>
    <row r="94" spans="3:9" x14ac:dyDescent="0.3">
      <c r="C94" s="55"/>
      <c r="D94" s="56"/>
      <c r="E94" s="56"/>
      <c r="F94" s="57"/>
      <c r="G94" s="58"/>
      <c r="H94" s="59" cm="1">
        <f t="array" ref="H94">SUMPRODUCT(Tracking[Amount], --(Tracking[Date]&lt;=Tracking[[#This Row],[Date]]),(Tracking[Type]&lt;&gt;"Income") * (-1) + (Tracking[Type]="Income"))</f>
        <v>0</v>
      </c>
      <c r="I94" s="64">
        <f>IF(AND(Tracking[[#This Row],[Type]]="Income", Shift_late_income_status="Active", DAY(Tracking[[#This Row],[Date]])&gt;=Shift_late_income_starting_day),
        DATE(YEAR(Tracking[[#This Row],[Date]]), MONTH(Tracking[[#This Row],[Date]])+1, 1),
         Tracking[[#This Row],[Date]])</f>
        <v>0</v>
      </c>
    </row>
    <row r="95" spans="3:9" x14ac:dyDescent="0.3">
      <c r="C95" s="55"/>
      <c r="D95" s="56"/>
      <c r="E95" s="56"/>
      <c r="F95" s="57"/>
      <c r="G95" s="58"/>
      <c r="H95" s="59" cm="1">
        <f t="array" ref="H95">SUMPRODUCT(Tracking[Amount], --(Tracking[Date]&lt;=Tracking[[#This Row],[Date]]),(Tracking[Type]&lt;&gt;"Income") * (-1) + (Tracking[Type]="Income"))</f>
        <v>0</v>
      </c>
      <c r="I95" s="64">
        <f>IF(AND(Tracking[[#This Row],[Type]]="Income", Shift_late_income_status="Active", DAY(Tracking[[#This Row],[Date]])&gt;=Shift_late_income_starting_day),
        DATE(YEAR(Tracking[[#This Row],[Date]]), MONTH(Tracking[[#This Row],[Date]])+1, 1),
         Tracking[[#This Row],[Date]])</f>
        <v>0</v>
      </c>
    </row>
  </sheetData>
  <conditionalFormatting sqref="E14:E95">
    <cfRule type="expression" dxfId="27" priority="6">
      <formula>ISNA(MATCH(E14, INDIRECT(D14), 0))</formula>
    </cfRule>
  </conditionalFormatting>
  <conditionalFormatting sqref="F14:F95">
    <cfRule type="expression" dxfId="26" priority="2">
      <formula>D14="Income"</formula>
    </cfRule>
  </conditionalFormatting>
  <conditionalFormatting sqref="I14:I95">
    <cfRule type="expression" dxfId="25" priority="1">
      <formula>AND(D14= "Income", Shift_late_income_status="Active", DAY(C14)&gt;=Shift_late_income_starting_day)</formula>
    </cfRule>
  </conditionalFormatting>
  <dataValidations count="4">
    <dataValidation type="date" operator="greaterThan" allowBlank="1" showInputMessage="1" showErrorMessage="1" errorTitle="Invalid Date" error="Please Enter a Valid Date" sqref="C14:C95" xr:uid="{7C56E032-90DF-4147-822C-B54CEA708770}">
      <formula1>32874</formula1>
    </dataValidation>
    <dataValidation type="list" allowBlank="1" showInputMessage="1" showErrorMessage="1" errorTitle="Invalid List" error="Please select a valid list from the Dropdown Menu" sqref="D14:D95" xr:uid="{903A7779-F9BD-4609-B42C-77508C54EA8F}">
      <formula1>"Income, Expenses, Savings"</formula1>
    </dataValidation>
    <dataValidation type="list" allowBlank="1" showInputMessage="1" showErrorMessage="1" errorTitle="Invalid Category" error="Please enter a valid category from the dropdown list." sqref="E14:E95" xr:uid="{84ABE262-C8B9-448F-B18A-459A235F57CE}">
      <formula1>INDIRECT(D14)</formula1>
    </dataValidation>
    <dataValidation type="custom" allowBlank="1" showInputMessage="1" showErrorMessage="1" errorTitle="Invalid Amount" error="Please enter a Valid number" sqref="F14:F95" xr:uid="{49783169-FE8F-40D1-8079-B6623C1C6525}">
      <formula1>ISNUMBER(F14)</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267F7-7994-42CA-A9CF-BC08DFD89CCE}">
  <dimension ref="A1:BR56"/>
  <sheetViews>
    <sheetView showGridLines="0" topLeftCell="A2" zoomScale="82" zoomScaleNormal="100" workbookViewId="0">
      <selection activeCell="AQ8" sqref="AQ8:AR8"/>
    </sheetView>
  </sheetViews>
  <sheetFormatPr defaultRowHeight="14.4" x14ac:dyDescent="0.3"/>
  <cols>
    <col min="1" max="2" width="8.88671875" customWidth="1"/>
    <col min="3" max="3" width="8.88671875" hidden="1" customWidth="1"/>
    <col min="4" max="4" width="11.21875" hidden="1" customWidth="1"/>
    <col min="5" max="9" width="8.88671875" hidden="1" customWidth="1"/>
    <col min="10" max="10" width="25.5546875" hidden="1" customWidth="1"/>
    <col min="11" max="11" width="18.88671875" hidden="1" customWidth="1"/>
    <col min="12" max="12" width="10" hidden="1" customWidth="1"/>
    <col min="13" max="13" width="10.77734375" hidden="1" customWidth="1"/>
    <col min="14" max="14" width="8.88671875" hidden="1" customWidth="1"/>
    <col min="15" max="18" width="12.109375" hidden="1" customWidth="1"/>
    <col min="19" max="20" width="13.21875" hidden="1" customWidth="1"/>
    <col min="21" max="21" width="12.77734375" hidden="1" customWidth="1"/>
    <col min="22" max="22" width="18" hidden="1" customWidth="1"/>
    <col min="23" max="23" width="13.21875" hidden="1" customWidth="1"/>
    <col min="24" max="24" width="24.21875" hidden="1" customWidth="1"/>
    <col min="25" max="25" width="23.88671875" customWidth="1"/>
    <col min="26" max="27" width="10.88671875" customWidth="1"/>
    <col min="28" max="28" width="7.6640625" customWidth="1"/>
    <col min="29" max="30" width="10.88671875" customWidth="1"/>
    <col min="31" max="31" width="3.109375" customWidth="1"/>
    <col min="32" max="33" width="15.33203125" customWidth="1"/>
    <col min="34" max="34" width="1.88671875" customWidth="1"/>
    <col min="35" max="35" width="14.88671875" customWidth="1"/>
    <col min="37" max="37" width="6.88671875" customWidth="1"/>
    <col min="38" max="38" width="1.77734375" customWidth="1"/>
    <col min="39" max="40" width="15.33203125" customWidth="1"/>
    <col min="41" max="41" width="1.88671875" customWidth="1"/>
    <col min="42" max="42" width="14.88671875" customWidth="1"/>
    <col min="44" max="44" width="6.88671875" customWidth="1"/>
  </cols>
  <sheetData>
    <row r="1" spans="1:70"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row>
    <row r="2" spans="1:70" ht="39.6" customHeight="1" x14ac:dyDescent="0.3">
      <c r="A2" s="75" t="s">
        <v>42</v>
      </c>
      <c r="B2" s="26"/>
      <c r="C2" s="27"/>
      <c r="D2" s="27"/>
      <c r="E2" s="27"/>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row>
    <row r="4" spans="1:70" x14ac:dyDescent="0.3">
      <c r="AQ4" s="143" t="s">
        <v>43</v>
      </c>
      <c r="AR4" s="144"/>
    </row>
    <row r="5" spans="1:70" x14ac:dyDescent="0.3">
      <c r="AN5" s="146" t="s">
        <v>45</v>
      </c>
      <c r="AO5" s="146"/>
      <c r="AP5" s="146"/>
      <c r="AQ5" s="145">
        <v>2024</v>
      </c>
      <c r="AR5" s="145"/>
    </row>
    <row r="6" spans="1:70" x14ac:dyDescent="0.3">
      <c r="AK6" t="e" vm="1">
        <v>#VALUE!</v>
      </c>
    </row>
    <row r="7" spans="1:70" x14ac:dyDescent="0.3">
      <c r="AQ7" s="143" t="s">
        <v>44</v>
      </c>
      <c r="AR7" s="144"/>
    </row>
    <row r="8" spans="1:70" x14ac:dyDescent="0.3">
      <c r="AN8" s="147" t="s">
        <v>46</v>
      </c>
      <c r="AO8" s="147"/>
      <c r="AP8" s="147"/>
      <c r="AQ8" s="148" t="s">
        <v>51</v>
      </c>
      <c r="AR8" s="148"/>
    </row>
    <row r="11" spans="1:70" x14ac:dyDescent="0.3">
      <c r="C11" s="11"/>
      <c r="D11" s="11"/>
      <c r="E11" s="11"/>
      <c r="F11" s="11"/>
      <c r="G11" s="11"/>
      <c r="H11" s="11"/>
      <c r="I11" s="11"/>
      <c r="J11" s="11"/>
      <c r="K11" s="11"/>
      <c r="L11" s="11"/>
      <c r="M11" s="11"/>
      <c r="N11" s="11"/>
      <c r="O11" s="11"/>
      <c r="P11" s="11"/>
      <c r="Q11" s="11"/>
      <c r="R11" s="11"/>
      <c r="S11" s="11"/>
      <c r="T11" s="11"/>
      <c r="U11" s="11"/>
      <c r="V11" s="11"/>
      <c r="W11" s="11"/>
      <c r="X11" s="11"/>
      <c r="Y11" s="140" t="str">
        <f>"Breakdown- " &amp;
  IF(selected_period= "Total Year",
  selected_year &amp; "(Total year)",
  selected_period_display &amp; " " &amp; selected_year)</f>
        <v>Breakdown- 2024(Total year)</v>
      </c>
      <c r="Z11" s="141"/>
      <c r="AA11" s="141"/>
      <c r="AB11" s="141"/>
      <c r="AC11" s="141"/>
      <c r="AD11" s="141"/>
      <c r="AF11" s="140" t="str">
        <f>"Summary- " &amp;
  IF(selected_period= "Total Year",
  selected_year &amp; "(Total year)",
  selected_period_display &amp; " " &amp; selected_year)</f>
        <v>Summary- 2024(Total year)</v>
      </c>
      <c r="AG11" s="142"/>
      <c r="AH11" s="142"/>
      <c r="AI11" s="142"/>
      <c r="AJ11" s="142"/>
      <c r="AK11" s="142"/>
      <c r="AL11" s="142"/>
      <c r="AM11" s="142"/>
      <c r="AN11" s="142"/>
      <c r="AO11" s="142"/>
      <c r="AP11" s="142"/>
      <c r="AQ11" s="142"/>
      <c r="AR11" s="142"/>
    </row>
    <row r="12" spans="1:70" x14ac:dyDescent="0.3">
      <c r="C12" s="89" t="s">
        <v>56</v>
      </c>
      <c r="D12" s="90" t="s">
        <v>57</v>
      </c>
      <c r="E12" s="89" t="s">
        <v>58</v>
      </c>
      <c r="F12" s="88" t="s">
        <v>59</v>
      </c>
      <c r="G12" s="88" t="s">
        <v>60</v>
      </c>
      <c r="H12" s="90" t="s">
        <v>61</v>
      </c>
      <c r="I12" s="89" t="s">
        <v>62</v>
      </c>
      <c r="J12" s="88" t="s">
        <v>63</v>
      </c>
      <c r="K12" s="88" t="s">
        <v>64</v>
      </c>
      <c r="L12" s="90" t="s">
        <v>65</v>
      </c>
      <c r="M12" s="89" t="s">
        <v>66</v>
      </c>
      <c r="N12" s="90" t="s">
        <v>67</v>
      </c>
      <c r="O12" s="89" t="s">
        <v>68</v>
      </c>
      <c r="P12" s="88" t="s">
        <v>69</v>
      </c>
      <c r="Q12" s="88" t="s">
        <v>70</v>
      </c>
      <c r="R12" s="90" t="s">
        <v>71</v>
      </c>
      <c r="S12" s="89" t="s">
        <v>73</v>
      </c>
      <c r="T12" s="88" t="s">
        <v>74</v>
      </c>
      <c r="U12" s="88" t="s">
        <v>75</v>
      </c>
      <c r="V12" s="88" t="s">
        <v>77</v>
      </c>
      <c r="W12" s="90" t="s">
        <v>76</v>
      </c>
      <c r="X12" s="95" t="s">
        <v>78</v>
      </c>
    </row>
    <row r="13" spans="1:70" x14ac:dyDescent="0.3">
      <c r="C13" s="91" cm="1">
        <f t="array" ref="C13">Income_header_row</f>
        <v>10</v>
      </c>
      <c r="D13" s="92">
        <f t="shared" ref="D13:D56" si="0">IF(is_header, row_id,
        IF(NOT(_is_empty),D12, -1))</f>
        <v>10</v>
      </c>
      <c r="E13" s="91" cm="1">
        <f t="array" ref="E13">1*OR(row_id=Income_header_row,row_id=expenses_header_row,row_id=savings_header_row)</f>
        <v>1</v>
      </c>
      <c r="F13">
        <f t="shared" ref="F13:F56" si="1">1*NOT(OR(is_header,is_total,_is_empty))</f>
        <v>0</v>
      </c>
      <c r="G13" cm="1">
        <f t="array" ref="G13">1*OR(row_id=income_total_row, row_id=expenses_total_row,row_id=savings_total_row)</f>
        <v>0</v>
      </c>
      <c r="H13" s="92">
        <f t="shared" ref="H13:H56" si="2">1*OR(row_id="/1", row_id="/2", row_id=-1)</f>
        <v>0</v>
      </c>
      <c r="I13" s="91" t="str" cm="1">
        <f t="array" ref="I13">IFERROR(INDEX('Budget planning'!$C:$C,header_row_id),"")</f>
        <v>Income</v>
      </c>
      <c r="J13" t="str" cm="1">
        <f t="array" ref="J13">IFERROR(INDEX('Budget planning'!$C:$C,row_id),"")</f>
        <v>Income</v>
      </c>
      <c r="K13" s="72" t="str" cm="1">
        <f t="array" ref="K13">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13" s="94" t="str" cm="1">
        <f t="array" ref="L13">IF(OR(is_header, _is_empty), "",
     INDEX('Budget planning'!$E:$DY, row_id,
        MATCH(IF(selected_period="Total Year", selected_year, DATE(selected_year, selected_period, 1)), 'Budget planning'!$E$10:$DY$10, 0) ))</f>
        <v/>
      </c>
      <c r="M13" s="91" t="str" cm="1">
        <f t="array" ref="M13">IF(is_cat,
          IF(header_row_id=Income_header_row, MATCH(income_min_row,$C:$C, 0),
            IF(header_row_id=expenses_header_row, MATCH(expenses_min_row,$C:$C, 0),
                  IF(header_row_id=savings_header_row, MATCH(savings_min_row,$C:$C, 0), ""))), "")</f>
        <v/>
      </c>
      <c r="N13" s="92" t="str" cm="1">
        <f t="array" ref="N13">IF(is_cat,
          IF(header_row_id=Income_header_row, MATCH(Income_max_row,$C:$C, 0),
            IF(header_row_id=expenses_header_row, MATCH(expenses_max_row,$C:$C, 0),
                  IF(header_row_id=savings_header_row, MATCH(savings_max_row,$C:$C, 0), ""))), "")</f>
        <v/>
      </c>
      <c r="O13" s="91" t="str">
        <f t="shared" ref="O13:O56" si="3">IF(is_cat, ADDRESS(sort_min_row, COLUMN(tracked)) &amp; ":" &amp; ADDRESS(sort_max_row, COLUMN(tracked)),"")</f>
        <v/>
      </c>
      <c r="P13" t="str">
        <f t="shared" ref="P13:P56" ca="1" si="4">IF(is_cat, RANK(tracked, INDIRECT(tracked_range), 0), "")</f>
        <v/>
      </c>
      <c r="Q13" t="str">
        <f t="shared" ref="Q13:Q56" si="5">IF(is_cat, ADDRESS(sort_min_row, COLUMN(budget)) &amp; ":" &amp; ADDRESS(sort_max_row, COLUMN(budget)),"")</f>
        <v/>
      </c>
      <c r="R13" s="92" t="str">
        <f t="shared" ref="R13:R56" ca="1" si="6">IF(is_cat, RANK(budget, INDIRECT(budget_range), 0), "")</f>
        <v/>
      </c>
      <c r="S13" s="91" t="str">
        <f t="shared" ref="S13:S56" si="7">IF(is_cat, _xlfn.NUMBERVALUE(tracked_rank &amp; budget_rank), "")</f>
        <v/>
      </c>
      <c r="T13" t="str">
        <f t="shared" ref="T13:T56" si="8">IF(is_cat, ADDRESS(sort_min_row, COLUMN(comb_rank)) &amp; ":" &amp; ADDRESS(sort_max_row, COLUMN(comb_rank)),"")</f>
        <v/>
      </c>
      <c r="U13" t="str">
        <f t="shared" ref="U13:U56" ca="1" si="9">IF(is_cat, RANK(comb_rank, INDIRECT(comb_rank_range),1),"")</f>
        <v/>
      </c>
      <c r="V13" t="str">
        <f t="shared" ref="V13:V56" si="10">IF(is_cat, ADDRESS(sort_min_row, COLUMN(comb_rank_norm)) &amp; ":" &amp; ADDRESS(ROW(), COLUMN(comb_rank_norm)),"")</f>
        <v/>
      </c>
      <c r="W13" s="92" t="str">
        <f t="shared" ref="W13:W56" ca="1" si="11">IF(is_cat, comb_rank_norm + COUNTIF(INDIRECT(comb_rank_run_range), comb_rank_norm)-1, "")</f>
        <v/>
      </c>
      <c r="X13" s="96">
        <f t="shared" ref="X13:X56" si="12">IF(is_cat, header_row_id+ comb_rank_unique, row_id)</f>
        <v>10</v>
      </c>
      <c r="Y13" s="97" t="str">
        <f t="shared" ref="Y13:Y56" si="13">IF(_is_empty, "", INDEX(J:J, MATCH(row_id, X:X, 0)))</f>
        <v>Income</v>
      </c>
      <c r="Z13" s="100" t="str">
        <f t="shared" ref="Z13:Z56" si="14">IF(_is_empty, "", IF(is_header, "Tracked", INDEX($K:$K, MATCH(row_id, $X:$X, 0))))</f>
        <v>Tracked</v>
      </c>
      <c r="AA13" s="100" t="str">
        <f t="shared" ref="AA13:AA56" si="15">IF(_is_empty, "", IF(is_header, "Budget", INDEX($L:$L, MATCH(row_id, $X:$X, 0))))</f>
        <v>Budget</v>
      </c>
      <c r="AB13" s="99" t="str">
        <f t="shared" ref="AB13:AB56" si="16">IF(_is_empty,"", IF(is_header, "% Compl.", IFERROR(out_tracked / out_budget, "-")))</f>
        <v>% Compl.</v>
      </c>
      <c r="AC13" s="100" t="str">
        <f t="shared" ref="AC13:AC56" si="17">IF(_is_empty, "", IF(is_header, "Remaining", IF(out_budget - out_tracked &gt; 0, out_budget - out_tracked, 0)))</f>
        <v>Remaining</v>
      </c>
      <c r="AD13" s="100" t="str">
        <f t="shared" ref="AD13:AD56" si="18">IF(_is_empty, "", IF(is_header, "Excess", IF(out_budget - out_tracked &lt; 0, out_tracked- out_budget, 0)))</f>
        <v>Excess</v>
      </c>
      <c r="AF13" s="103"/>
      <c r="AG13" s="104"/>
      <c r="AH13" s="104"/>
      <c r="AI13" s="104"/>
      <c r="AJ13" s="104"/>
      <c r="AK13" s="105"/>
      <c r="AM13" s="103"/>
      <c r="AN13" s="104"/>
      <c r="AO13" s="104"/>
      <c r="AP13" s="104"/>
      <c r="AQ13" s="104"/>
      <c r="AR13" s="105"/>
    </row>
    <row r="14" spans="1:70" x14ac:dyDescent="0.3">
      <c r="C14" s="91" cm="1">
        <f t="array" ref="C14">IF(C13=-1,-1,
    IF(C13&lt;Income_max_row, C13+1,
      IF(C13=Income_max_row, income_total_row,
       IF(C13=income_total_row, "/1",
                     IF(C13="/1", expenses_header_row,
                        IF(C13&lt;expenses_max_row,C13+1,
                             IF(C13=expenses_max_row, expenses_total_row,
                                          IF(C13=expenses_total_row, "/2",
                                                  IF(C13="/2", savings_header_row,
                                                               IF(C13&lt;savings_max_row, C13+1,
                                                                    IF(C13=savings_max_row,savings_total_row, -1)))))))))))</f>
        <v>11</v>
      </c>
      <c r="D14" s="92">
        <f t="shared" si="0"/>
        <v>10</v>
      </c>
      <c r="E14" s="91" cm="1">
        <f t="array" ref="E14">1*OR(row_id=Income_header_row,row_id=expenses_header_row,row_id=savings_header_row)</f>
        <v>0</v>
      </c>
      <c r="F14">
        <f t="shared" si="1"/>
        <v>1</v>
      </c>
      <c r="G14" cm="1">
        <f t="array" ref="G14">1*OR(row_id=income_total_row, row_id=expenses_total_row,row_id=savings_total_row)</f>
        <v>0</v>
      </c>
      <c r="H14" s="92">
        <f t="shared" si="2"/>
        <v>0</v>
      </c>
      <c r="I14" s="91" t="str" cm="1">
        <f t="array" ref="I14">IFERROR(INDEX('Budget planning'!$C:$C,header_row_id),"")</f>
        <v>Income</v>
      </c>
      <c r="J14" t="str" cm="1">
        <f t="array" ref="J14">IFERROR(INDEX('Budget planning'!$C:$C,row_id),"")</f>
        <v>Employment (Net)</v>
      </c>
      <c r="K14" s="72" cm="1">
        <f t="array" ref="K14">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14" s="94" cm="1">
        <f t="array" ref="L14">IF(OR(is_header, _is_empty), "",
     INDEX('Budget planning'!$E:$DY, row_id,
        MATCH(IF(selected_period="Total Year", selected_year, DATE(selected_year, selected_period, 1)), 'Budget planning'!$E$10:$DY$10, 0) ))</f>
        <v>31000</v>
      </c>
      <c r="M14" s="91" cm="1">
        <f t="array" ref="M14">IF(is_cat,
          IF(header_row_id=Income_header_row, MATCH(income_min_row,$C:$C, 0),
            IF(header_row_id=expenses_header_row, MATCH(expenses_min_row,$C:$C, 0),
                  IF(header_row_id=savings_header_row, MATCH(savings_min_row,$C:$C, 0), ""))), "")</f>
        <v>14</v>
      </c>
      <c r="N14" s="92" cm="1">
        <f t="array" ref="N14">IF(is_cat,
          IF(header_row_id=Income_header_row, MATCH(Income_max_row,$C:$C, 0),
            IF(header_row_id=expenses_header_row, MATCH(expenses_max_row,$C:$C, 0),
                  IF(header_row_id=savings_header_row, MATCH(savings_max_row,$C:$C, 0), ""))), "")</f>
        <v>18</v>
      </c>
      <c r="O14" s="91" t="str">
        <f t="shared" si="3"/>
        <v>$K$14:$K$18</v>
      </c>
      <c r="P14">
        <f t="shared" ca="1" si="4"/>
        <v>1</v>
      </c>
      <c r="Q14" t="str">
        <f t="shared" si="5"/>
        <v>$L$14:$L$18</v>
      </c>
      <c r="R14" s="92">
        <f t="shared" ca="1" si="6"/>
        <v>1</v>
      </c>
      <c r="S14" s="91">
        <f t="shared" ca="1" si="7"/>
        <v>11</v>
      </c>
      <c r="T14" t="str">
        <f t="shared" si="8"/>
        <v>$S$14:$S$18</v>
      </c>
      <c r="U14">
        <f t="shared" ca="1" si="9"/>
        <v>1</v>
      </c>
      <c r="V14" t="str">
        <f t="shared" si="10"/>
        <v>$U$14:$U$14</v>
      </c>
      <c r="W14" s="92">
        <f t="shared" ca="1" si="11"/>
        <v>1</v>
      </c>
      <c r="X14" s="96">
        <f t="shared" ca="1" si="12"/>
        <v>11</v>
      </c>
      <c r="Y14" s="97" t="str">
        <f t="shared" ca="1" si="13"/>
        <v>Employment (Net)</v>
      </c>
      <c r="Z14" s="100">
        <f t="shared" ca="1" si="14"/>
        <v>0</v>
      </c>
      <c r="AA14" s="100">
        <f t="shared" ca="1" si="15"/>
        <v>31000</v>
      </c>
      <c r="AB14" s="99">
        <f t="shared" ca="1" si="16"/>
        <v>0</v>
      </c>
      <c r="AC14" s="100">
        <f t="shared" ca="1" si="17"/>
        <v>31000</v>
      </c>
      <c r="AD14" s="100">
        <f t="shared" ca="1" si="18"/>
        <v>0</v>
      </c>
      <c r="AF14" s="106"/>
      <c r="AK14" s="4"/>
      <c r="AM14" s="106"/>
      <c r="AN14" s="122"/>
      <c r="AR14" s="4"/>
    </row>
    <row r="15" spans="1:70" x14ac:dyDescent="0.3">
      <c r="C15" s="91" cm="1">
        <f t="array" ref="C15">IF(C14=-1,-1,
    IF(C14&lt;Income_max_row, C14+1,
      IF(C14=Income_max_row, income_total_row,
       IF(C14=income_total_row, "/1",
                     IF(C14="/1", expenses_header_row,
                        IF(C14&lt;expenses_max_row,C14+1,
                             IF(C14=expenses_max_row, expenses_total_row,
                                          IF(C14=expenses_total_row, "/2",
                                                  IF(C14="/2", savings_header_row,
                                                               IF(C14&lt;savings_max_row, C14+1,
                                                                    IF(C14=savings_max_row,savings_total_row, -1)))))))))))</f>
        <v>12</v>
      </c>
      <c r="D15" s="92">
        <f t="shared" si="0"/>
        <v>10</v>
      </c>
      <c r="E15" s="91" cm="1">
        <f t="array" ref="E15">1*OR(row_id=Income_header_row,row_id=expenses_header_row,row_id=savings_header_row)</f>
        <v>0</v>
      </c>
      <c r="F15">
        <f t="shared" si="1"/>
        <v>1</v>
      </c>
      <c r="G15" cm="1">
        <f t="array" ref="G15">1*OR(row_id=income_total_row, row_id=expenses_total_row,row_id=savings_total_row)</f>
        <v>0</v>
      </c>
      <c r="H15" s="92">
        <f t="shared" si="2"/>
        <v>0</v>
      </c>
      <c r="I15" s="91" t="str" cm="1">
        <f t="array" ref="I15">IFERROR(INDEX('Budget planning'!$C:$C,header_row_id),"")</f>
        <v>Income</v>
      </c>
      <c r="J15" t="str" cm="1">
        <f t="array" ref="J15">IFERROR(INDEX('Budget planning'!$C:$C,row_id),"")</f>
        <v>Side Hustle (Net)</v>
      </c>
      <c r="K15" s="72" cm="1">
        <f t="array" ref="K15">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15" s="94" cm="1">
        <f t="array" ref="L15">IF(OR(is_header, _is_empty), "",
     INDEX('Budget planning'!$E:$DY, row_id,
        MATCH(IF(selected_period="Total Year", selected_year, DATE(selected_year, selected_period, 1)), 'Budget planning'!$E$10:$DY$10, 0) ))</f>
        <v>0</v>
      </c>
      <c r="M15" s="91" cm="1">
        <f t="array" ref="M15">IF(is_cat,
          IF(header_row_id=Income_header_row, MATCH(income_min_row,$C:$C, 0),
            IF(header_row_id=expenses_header_row, MATCH(expenses_min_row,$C:$C, 0),
                  IF(header_row_id=savings_header_row, MATCH(savings_min_row,$C:$C, 0), ""))), "")</f>
        <v>14</v>
      </c>
      <c r="N15" s="92" cm="1">
        <f t="array" ref="N15">IF(is_cat,
          IF(header_row_id=Income_header_row, MATCH(Income_max_row,$C:$C, 0),
            IF(header_row_id=expenses_header_row, MATCH(expenses_max_row,$C:$C, 0),
                  IF(header_row_id=savings_header_row, MATCH(savings_max_row,$C:$C, 0), ""))), "")</f>
        <v>18</v>
      </c>
      <c r="O15" s="91" t="str">
        <f t="shared" si="3"/>
        <v>$K$14:$K$18</v>
      </c>
      <c r="P15">
        <f t="shared" ca="1" si="4"/>
        <v>1</v>
      </c>
      <c r="Q15" t="str">
        <f t="shared" si="5"/>
        <v>$L$14:$L$18</v>
      </c>
      <c r="R15" s="92">
        <f t="shared" ca="1" si="6"/>
        <v>2</v>
      </c>
      <c r="S15" s="91">
        <f t="shared" ca="1" si="7"/>
        <v>12</v>
      </c>
      <c r="T15" t="str">
        <f t="shared" si="8"/>
        <v>$S$14:$S$18</v>
      </c>
      <c r="U15">
        <f t="shared" ca="1" si="9"/>
        <v>2</v>
      </c>
      <c r="V15" t="str">
        <f t="shared" si="10"/>
        <v>$U$14:$U$15</v>
      </c>
      <c r="W15" s="92">
        <f t="shared" ca="1" si="11"/>
        <v>2</v>
      </c>
      <c r="X15" s="96">
        <f t="shared" ca="1" si="12"/>
        <v>12</v>
      </c>
      <c r="Y15" s="97" t="str">
        <f ca="1">IF(_is_empty, "", INDEX(J:J, MATCH(row_id, X:X, 0)))</f>
        <v>Side Hustle (Net)</v>
      </c>
      <c r="Z15" s="100">
        <f t="shared" ca="1" si="14"/>
        <v>0</v>
      </c>
      <c r="AA15" s="100">
        <f t="shared" ca="1" si="15"/>
        <v>0</v>
      </c>
      <c r="AB15" s="99" t="str">
        <f t="shared" ca="1" si="16"/>
        <v>-</v>
      </c>
      <c r="AC15" s="100">
        <f t="shared" ca="1" si="17"/>
        <v>0</v>
      </c>
      <c r="AD15" s="100">
        <f t="shared" ca="1" si="18"/>
        <v>0</v>
      </c>
      <c r="AF15" s="106"/>
      <c r="AK15" s="4"/>
      <c r="AM15" s="106"/>
      <c r="AR15" s="4"/>
    </row>
    <row r="16" spans="1:70" x14ac:dyDescent="0.3">
      <c r="C16" s="91" cm="1">
        <f t="array" ref="C16">IF(C15=-1,-1,
    IF(C15&lt;Income_max_row, C15+1,
      IF(C15=Income_max_row, income_total_row,
       IF(C15=income_total_row, "/1",
                     IF(C15="/1", expenses_header_row,
                        IF(C15&lt;expenses_max_row,C15+1,
                             IF(C15=expenses_max_row, expenses_total_row,
                                          IF(C15=expenses_total_row, "/2",
                                                  IF(C15="/2", savings_header_row,
                                                               IF(C15&lt;savings_max_row, C15+1,
                                                                    IF(C15=savings_max_row,savings_total_row, -1)))))))))))</f>
        <v>13</v>
      </c>
      <c r="D16" s="92">
        <f t="shared" si="0"/>
        <v>10</v>
      </c>
      <c r="E16" s="91" cm="1">
        <f t="array" ref="E16">1*OR(row_id=Income_header_row,row_id=expenses_header_row,row_id=savings_header_row)</f>
        <v>0</v>
      </c>
      <c r="F16">
        <f t="shared" si="1"/>
        <v>1</v>
      </c>
      <c r="G16" cm="1">
        <f t="array" ref="G16">1*OR(row_id=income_total_row, row_id=expenses_total_row,row_id=savings_total_row)</f>
        <v>0</v>
      </c>
      <c r="H16" s="92">
        <f t="shared" si="2"/>
        <v>0</v>
      </c>
      <c r="I16" s="91" t="str" cm="1">
        <f t="array" ref="I16">IFERROR(INDEX('Budget planning'!$C:$C,header_row_id),"")</f>
        <v>Income</v>
      </c>
      <c r="J16" t="str" cm="1">
        <f t="array" ref="J16">IFERROR(INDEX('Budget planning'!$C:$C,row_id),"")</f>
        <v>Dividends</v>
      </c>
      <c r="K16" s="72" cm="1">
        <f t="array" ref="K16">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16" s="94" cm="1">
        <f t="array" ref="L16">IF(OR(is_header, _is_empty), "",
     INDEX('Budget planning'!$E:$DY, row_id,
        MATCH(IF(selected_period="Total Year", selected_year, DATE(selected_year, selected_period, 1)), 'Budget planning'!$E$10:$DY$10, 0) ))</f>
        <v>0</v>
      </c>
      <c r="M16" s="91" cm="1">
        <f t="array" ref="M16">IF(is_cat,
          IF(header_row_id=Income_header_row, MATCH(income_min_row,$C:$C, 0),
            IF(header_row_id=expenses_header_row, MATCH(expenses_min_row,$C:$C, 0),
                  IF(header_row_id=savings_header_row, MATCH(savings_min_row,$C:$C, 0), ""))), "")</f>
        <v>14</v>
      </c>
      <c r="N16" s="92" cm="1">
        <f t="array" ref="N16">IF(is_cat,
          IF(header_row_id=Income_header_row, MATCH(Income_max_row,$C:$C, 0),
            IF(header_row_id=expenses_header_row, MATCH(expenses_max_row,$C:$C, 0),
                  IF(header_row_id=savings_header_row, MATCH(savings_max_row,$C:$C, 0), ""))), "")</f>
        <v>18</v>
      </c>
      <c r="O16" s="91" t="str">
        <f t="shared" si="3"/>
        <v>$K$14:$K$18</v>
      </c>
      <c r="P16">
        <f t="shared" ca="1" si="4"/>
        <v>1</v>
      </c>
      <c r="Q16" t="str">
        <f t="shared" si="5"/>
        <v>$L$14:$L$18</v>
      </c>
      <c r="R16" s="92">
        <f t="shared" ca="1" si="6"/>
        <v>2</v>
      </c>
      <c r="S16" s="91">
        <f t="shared" ca="1" si="7"/>
        <v>12</v>
      </c>
      <c r="T16" t="str">
        <f t="shared" si="8"/>
        <v>$S$14:$S$18</v>
      </c>
      <c r="U16">
        <f t="shared" ca="1" si="9"/>
        <v>2</v>
      </c>
      <c r="V16" t="str">
        <f t="shared" si="10"/>
        <v>$U$14:$U$16</v>
      </c>
      <c r="W16" s="92">
        <f t="shared" ca="1" si="11"/>
        <v>3</v>
      </c>
      <c r="X16" s="96">
        <f t="shared" ca="1" si="12"/>
        <v>13</v>
      </c>
      <c r="Y16" s="97" t="str">
        <f t="shared" ca="1" si="13"/>
        <v>Dividends</v>
      </c>
      <c r="Z16" s="100">
        <f t="shared" ca="1" si="14"/>
        <v>0</v>
      </c>
      <c r="AA16" s="100">
        <f t="shared" ca="1" si="15"/>
        <v>0</v>
      </c>
      <c r="AB16" s="99" t="str">
        <f t="shared" ca="1" si="16"/>
        <v>-</v>
      </c>
      <c r="AC16" s="100">
        <f t="shared" ca="1" si="17"/>
        <v>0</v>
      </c>
      <c r="AD16" s="100">
        <f t="shared" ca="1" si="18"/>
        <v>0</v>
      </c>
      <c r="AF16" s="106"/>
      <c r="AI16" s="117" t="str">
        <f ca="1">Calculations!E36</f>
        <v/>
      </c>
      <c r="AJ16" s="118" t="str">
        <f ca="1">Calculations!I36</f>
        <v/>
      </c>
      <c r="AK16" s="4"/>
      <c r="AM16" s="106"/>
      <c r="AR16" s="4"/>
    </row>
    <row r="17" spans="3:44" x14ac:dyDescent="0.3">
      <c r="C17" s="91" cm="1">
        <f t="array" ref="C17">IF(C16=-1,-1,
    IF(C16&lt;Income_max_row, C16+1,
      IF(C16=Income_max_row, income_total_row,
       IF(C16=income_total_row, "/1",
                     IF(C16="/1", expenses_header_row,
                        IF(C16&lt;expenses_max_row,C16+1,
                             IF(C16=expenses_max_row, expenses_total_row,
                                          IF(C16=expenses_total_row, "/2",
                                                  IF(C16="/2", savings_header_row,
                                                               IF(C16&lt;savings_max_row, C16+1,
                                                                    IF(C16=savings_max_row,savings_total_row, -1)))))))))))</f>
        <v>14</v>
      </c>
      <c r="D17" s="92">
        <f t="shared" si="0"/>
        <v>10</v>
      </c>
      <c r="E17" s="91" cm="1">
        <f t="array" ref="E17">1*OR(row_id=Income_header_row,row_id=expenses_header_row,row_id=savings_header_row)</f>
        <v>0</v>
      </c>
      <c r="F17">
        <f t="shared" si="1"/>
        <v>1</v>
      </c>
      <c r="G17" cm="1">
        <f t="array" ref="G17">1*OR(row_id=income_total_row, row_id=expenses_total_row,row_id=savings_total_row)</f>
        <v>0</v>
      </c>
      <c r="H17" s="92">
        <f t="shared" si="2"/>
        <v>0</v>
      </c>
      <c r="I17" s="91" t="str" cm="1">
        <f t="array" ref="I17">IFERROR(INDEX('Budget planning'!$C:$C,header_row_id),"")</f>
        <v>Income</v>
      </c>
      <c r="J17" t="str" cm="1">
        <f t="array" ref="J17">IFERROR(INDEX('Budget planning'!$C:$C,row_id),"")</f>
        <v>Savings Acc</v>
      </c>
      <c r="K17" s="72" cm="1">
        <f t="array" ref="K17">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17" s="94" cm="1">
        <f t="array" ref="L17">IF(OR(is_header, _is_empty), "",
     INDEX('Budget planning'!$E:$DY, row_id,
        MATCH(IF(selected_period="Total Year", selected_year, DATE(selected_year, selected_period, 1)), 'Budget planning'!$E$10:$DY$10, 0) ))</f>
        <v>0</v>
      </c>
      <c r="M17" s="91" cm="1">
        <f t="array" ref="M17">IF(is_cat,
          IF(header_row_id=Income_header_row, MATCH(income_min_row,$C:$C, 0),
            IF(header_row_id=expenses_header_row, MATCH(expenses_min_row,$C:$C, 0),
                  IF(header_row_id=savings_header_row, MATCH(savings_min_row,$C:$C, 0), ""))), "")</f>
        <v>14</v>
      </c>
      <c r="N17" s="92" cm="1">
        <f t="array" ref="N17">IF(is_cat,
          IF(header_row_id=Income_header_row, MATCH(Income_max_row,$C:$C, 0),
            IF(header_row_id=expenses_header_row, MATCH(expenses_max_row,$C:$C, 0),
                  IF(header_row_id=savings_header_row, MATCH(savings_max_row,$C:$C, 0), ""))), "")</f>
        <v>18</v>
      </c>
      <c r="O17" s="91" t="str">
        <f t="shared" si="3"/>
        <v>$K$14:$K$18</v>
      </c>
      <c r="P17">
        <f t="shared" ca="1" si="4"/>
        <v>1</v>
      </c>
      <c r="Q17" t="str">
        <f t="shared" si="5"/>
        <v>$L$14:$L$18</v>
      </c>
      <c r="R17" s="92">
        <f t="shared" ca="1" si="6"/>
        <v>2</v>
      </c>
      <c r="S17" s="91">
        <f t="shared" ca="1" si="7"/>
        <v>12</v>
      </c>
      <c r="T17" t="str">
        <f t="shared" si="8"/>
        <v>$S$14:$S$18</v>
      </c>
      <c r="U17">
        <f t="shared" ca="1" si="9"/>
        <v>2</v>
      </c>
      <c r="V17" t="str">
        <f t="shared" si="10"/>
        <v>$U$14:$U$17</v>
      </c>
      <c r="W17" s="92">
        <f t="shared" ca="1" si="11"/>
        <v>4</v>
      </c>
      <c r="X17" s="96">
        <f t="shared" ca="1" si="12"/>
        <v>14</v>
      </c>
      <c r="Y17" s="97" t="str">
        <f t="shared" ca="1" si="13"/>
        <v>Savings Acc</v>
      </c>
      <c r="Z17" s="100">
        <f t="shared" ca="1" si="14"/>
        <v>0</v>
      </c>
      <c r="AA17" s="100">
        <f t="shared" ca="1" si="15"/>
        <v>0</v>
      </c>
      <c r="AB17" s="99" t="str">
        <f t="shared" ca="1" si="16"/>
        <v>-</v>
      </c>
      <c r="AC17" s="100">
        <f t="shared" ca="1" si="17"/>
        <v>0</v>
      </c>
      <c r="AD17" s="100">
        <f t="shared" ca="1" si="18"/>
        <v>0</v>
      </c>
      <c r="AF17" s="106"/>
      <c r="AI17" s="117" t="str">
        <f ca="1">Calculations!E37</f>
        <v/>
      </c>
      <c r="AJ17" s="118" t="str">
        <f ca="1">Calculations!I37</f>
        <v/>
      </c>
      <c r="AK17" s="4"/>
      <c r="AM17" s="106"/>
      <c r="AR17" s="4"/>
    </row>
    <row r="18" spans="3:44" x14ac:dyDescent="0.3">
      <c r="C18" s="91" cm="1">
        <f t="array" ref="C18">IF(C17=-1,-1,
    IF(C17&lt;Income_max_row, C17+1,
      IF(C17=Income_max_row, income_total_row,
       IF(C17=income_total_row, "/1",
                     IF(C17="/1", expenses_header_row,
                        IF(C17&lt;expenses_max_row,C17+1,
                             IF(C17=expenses_max_row, expenses_total_row,
                                          IF(C17=expenses_total_row, "/2",
                                                  IF(C17="/2", savings_header_row,
                                                               IF(C17&lt;savings_max_row, C17+1,
                                                                    IF(C17=savings_max_row,savings_total_row, -1)))))))))))</f>
        <v>15</v>
      </c>
      <c r="D18" s="92">
        <f t="shared" si="0"/>
        <v>10</v>
      </c>
      <c r="E18" s="91" cm="1">
        <f t="array" ref="E18">1*OR(row_id=Income_header_row,row_id=expenses_header_row,row_id=savings_header_row)</f>
        <v>0</v>
      </c>
      <c r="F18">
        <f t="shared" si="1"/>
        <v>1</v>
      </c>
      <c r="G18" cm="1">
        <f t="array" ref="G18">1*OR(row_id=income_total_row, row_id=expenses_total_row,row_id=savings_total_row)</f>
        <v>0</v>
      </c>
      <c r="H18" s="92">
        <f t="shared" si="2"/>
        <v>0</v>
      </c>
      <c r="I18" s="91" t="str" cm="1">
        <f t="array" ref="I18">IFERROR(INDEX('Budget planning'!$C:$C,header_row_id),"")</f>
        <v>Income</v>
      </c>
      <c r="J18" t="str" cm="1">
        <f t="array" ref="J18">IFERROR(INDEX('Budget planning'!$C:$C,row_id),"")</f>
        <v xml:space="preserve">   Tax Return</v>
      </c>
      <c r="K18" s="72" cm="1">
        <f t="array" ref="K18">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18" s="94" cm="1">
        <f t="array" ref="L18">IF(OR(is_header, _is_empty), "",
     INDEX('Budget planning'!$E:$DY, row_id,
        MATCH(IF(selected_period="Total Year", selected_year, DATE(selected_year, selected_period, 1)), 'Budget planning'!$E$10:$DY$10, 0) ))</f>
        <v>0</v>
      </c>
      <c r="M18" s="91" cm="1">
        <f t="array" ref="M18">IF(is_cat,
          IF(header_row_id=Income_header_row, MATCH(income_min_row,$C:$C, 0),
            IF(header_row_id=expenses_header_row, MATCH(expenses_min_row,$C:$C, 0),
                  IF(header_row_id=savings_header_row, MATCH(savings_min_row,$C:$C, 0), ""))), "")</f>
        <v>14</v>
      </c>
      <c r="N18" s="92" cm="1">
        <f t="array" ref="N18">IF(is_cat,
          IF(header_row_id=Income_header_row, MATCH(Income_max_row,$C:$C, 0),
            IF(header_row_id=expenses_header_row, MATCH(expenses_max_row,$C:$C, 0),
                  IF(header_row_id=savings_header_row, MATCH(savings_max_row,$C:$C, 0), ""))), "")</f>
        <v>18</v>
      </c>
      <c r="O18" s="91" t="str">
        <f t="shared" si="3"/>
        <v>$K$14:$K$18</v>
      </c>
      <c r="P18">
        <f t="shared" ca="1" si="4"/>
        <v>1</v>
      </c>
      <c r="Q18" t="str">
        <f t="shared" si="5"/>
        <v>$L$14:$L$18</v>
      </c>
      <c r="R18" s="92">
        <f t="shared" ca="1" si="6"/>
        <v>2</v>
      </c>
      <c r="S18" s="91">
        <f t="shared" ca="1" si="7"/>
        <v>12</v>
      </c>
      <c r="T18" t="str">
        <f t="shared" si="8"/>
        <v>$S$14:$S$18</v>
      </c>
      <c r="U18">
        <f t="shared" ca="1" si="9"/>
        <v>2</v>
      </c>
      <c r="V18" t="str">
        <f t="shared" si="10"/>
        <v>$U$14:$U$18</v>
      </c>
      <c r="W18" s="92">
        <f t="shared" ca="1" si="11"/>
        <v>5</v>
      </c>
      <c r="X18" s="96">
        <f t="shared" ca="1" si="12"/>
        <v>15</v>
      </c>
      <c r="Y18" s="97" t="str">
        <f t="shared" ca="1" si="13"/>
        <v xml:space="preserve">   Tax Return</v>
      </c>
      <c r="Z18" s="100">
        <f t="shared" ca="1" si="14"/>
        <v>0</v>
      </c>
      <c r="AA18" s="100">
        <f t="shared" ca="1" si="15"/>
        <v>0</v>
      </c>
      <c r="AB18" s="99" t="str">
        <f t="shared" ca="1" si="16"/>
        <v>-</v>
      </c>
      <c r="AC18" s="100">
        <f t="shared" ca="1" si="17"/>
        <v>0</v>
      </c>
      <c r="AD18" s="100">
        <f t="shared" ca="1" si="18"/>
        <v>0</v>
      </c>
      <c r="AF18" s="106"/>
      <c r="AI18" s="117" t="str">
        <f ca="1">Calculations!E38</f>
        <v/>
      </c>
      <c r="AJ18" s="118" t="str">
        <f ca="1">Calculations!I38</f>
        <v/>
      </c>
      <c r="AK18" s="4"/>
      <c r="AM18" s="106"/>
      <c r="AR18" s="4"/>
    </row>
    <row r="19" spans="3:44" x14ac:dyDescent="0.3">
      <c r="C19" s="91" cm="1">
        <f t="array" ref="C19">IF(C18=-1,-1,
    IF(C18&lt;Income_max_row, C18+1,
      IF(C18=Income_max_row, income_total_row,
       IF(C18=income_total_row, "/1",
                     IF(C18="/1", expenses_header_row,
                        IF(C18&lt;expenses_max_row,C18+1,
                             IF(C18=expenses_max_row, expenses_total_row,
                                          IF(C18=expenses_total_row, "/2",
                                                  IF(C18="/2", savings_header_row,
                                                               IF(C18&lt;savings_max_row, C18+1,
                                                                    IF(C18=savings_max_row,savings_total_row, -1)))))))))))</f>
        <v>23</v>
      </c>
      <c r="D19" s="92">
        <f t="shared" si="0"/>
        <v>10</v>
      </c>
      <c r="E19" s="91" cm="1">
        <f t="array" ref="E19">1*OR(row_id=Income_header_row,row_id=expenses_header_row,row_id=savings_header_row)</f>
        <v>0</v>
      </c>
      <c r="F19">
        <f t="shared" si="1"/>
        <v>0</v>
      </c>
      <c r="G19" cm="1">
        <f t="array" ref="G19">1*OR(row_id=income_total_row, row_id=expenses_total_row,row_id=savings_total_row)</f>
        <v>1</v>
      </c>
      <c r="H19" s="92">
        <f t="shared" si="2"/>
        <v>0</v>
      </c>
      <c r="I19" s="91" t="str" cm="1">
        <f t="array" ref="I19">IFERROR(INDEX('Budget planning'!$C:$C,header_row_id),"")</f>
        <v>Income</v>
      </c>
      <c r="J19" t="str" cm="1">
        <f t="array" ref="J19">IFERROR(INDEX('Budget planning'!$C:$C,row_id),"")</f>
        <v>Total</v>
      </c>
      <c r="K19" s="72" cm="1">
        <f t="array" ref="K19">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19" s="94" cm="1">
        <f t="array" aca="1" ref="L19" ca="1">IF(OR(is_header, _is_empty), "",
     INDEX('Budget planning'!$E:$DY, row_id,
        MATCH(IF(selected_period="Total Year", selected_year, DATE(selected_year, selected_period, 1)), 'Budget planning'!$E$10:$DY$10, 0) ))</f>
        <v>31000</v>
      </c>
      <c r="M19" s="91" t="str" cm="1">
        <f t="array" ref="M19">IF(is_cat,
          IF(header_row_id=Income_header_row, MATCH(income_min_row,$C:$C, 0),
            IF(header_row_id=expenses_header_row, MATCH(expenses_min_row,$C:$C, 0),
                  IF(header_row_id=savings_header_row, MATCH(savings_min_row,$C:$C, 0), ""))), "")</f>
        <v/>
      </c>
      <c r="N19" s="92" t="str" cm="1">
        <f t="array" ref="N19">IF(is_cat,
          IF(header_row_id=Income_header_row, MATCH(Income_max_row,$C:$C, 0),
            IF(header_row_id=expenses_header_row, MATCH(expenses_max_row,$C:$C, 0),
                  IF(header_row_id=savings_header_row, MATCH(savings_max_row,$C:$C, 0), ""))), "")</f>
        <v/>
      </c>
      <c r="O19" s="91" t="str">
        <f t="shared" si="3"/>
        <v/>
      </c>
      <c r="P19" t="str">
        <f t="shared" ca="1" si="4"/>
        <v/>
      </c>
      <c r="Q19" t="str">
        <f t="shared" si="5"/>
        <v/>
      </c>
      <c r="R19" s="92" t="str">
        <f t="shared" ca="1" si="6"/>
        <v/>
      </c>
      <c r="S19" s="91" t="str">
        <f t="shared" si="7"/>
        <v/>
      </c>
      <c r="T19" t="str">
        <f t="shared" si="8"/>
        <v/>
      </c>
      <c r="U19" t="str">
        <f t="shared" ca="1" si="9"/>
        <v/>
      </c>
      <c r="V19" t="str">
        <f t="shared" si="10"/>
        <v/>
      </c>
      <c r="W19" s="92" t="str">
        <f t="shared" ca="1" si="11"/>
        <v/>
      </c>
      <c r="X19" s="96">
        <f t="shared" si="12"/>
        <v>23</v>
      </c>
      <c r="Y19" s="97" t="str">
        <f t="shared" ca="1" si="13"/>
        <v>Total</v>
      </c>
      <c r="Z19" s="100">
        <f t="shared" ca="1" si="14"/>
        <v>0</v>
      </c>
      <c r="AA19" s="100">
        <f t="shared" ca="1" si="15"/>
        <v>31000</v>
      </c>
      <c r="AB19" s="99">
        <f t="shared" ca="1" si="16"/>
        <v>0</v>
      </c>
      <c r="AC19" s="100">
        <f t="shared" ca="1" si="17"/>
        <v>31000</v>
      </c>
      <c r="AD19" s="100">
        <f t="shared" ca="1" si="18"/>
        <v>0</v>
      </c>
      <c r="AF19" s="106"/>
      <c r="AI19" s="117" t="str">
        <f ca="1">Calculations!E39</f>
        <v/>
      </c>
      <c r="AJ19" s="118" t="str">
        <f ca="1">Calculations!I39</f>
        <v/>
      </c>
      <c r="AK19" s="4"/>
      <c r="AM19" s="106"/>
      <c r="AR19" s="4"/>
    </row>
    <row r="20" spans="3:44" x14ac:dyDescent="0.3">
      <c r="C20" s="91" t="str" cm="1">
        <f t="array" ref="C20">IF(C19=-1,-1,
    IF(C19&lt;Income_max_row, C19+1,
      IF(C19=Income_max_row, income_total_row,
       IF(C19=income_total_row, "/1",
                     IF(C19="/1", expenses_header_row,
                        IF(C19&lt;expenses_max_row,C19+1,
                             IF(C19=expenses_max_row, expenses_total_row,
                                          IF(C19=expenses_total_row, "/2",
                                                  IF(C19="/2", savings_header_row,
                                                               IF(C19&lt;savings_max_row, C19+1,
                                                                    IF(C19=savings_max_row,savings_total_row, -1)))))))))))</f>
        <v>/1</v>
      </c>
      <c r="D20" s="92">
        <f t="shared" si="0"/>
        <v>-1</v>
      </c>
      <c r="E20" s="91" cm="1">
        <f t="array" ref="E20">1*OR(row_id=Income_header_row,row_id=expenses_header_row,row_id=savings_header_row)</f>
        <v>0</v>
      </c>
      <c r="F20">
        <f t="shared" si="1"/>
        <v>0</v>
      </c>
      <c r="G20" cm="1">
        <f t="array" ref="G20">1*OR(row_id=income_total_row, row_id=expenses_total_row,row_id=savings_total_row)</f>
        <v>0</v>
      </c>
      <c r="H20" s="92">
        <f t="shared" si="2"/>
        <v>1</v>
      </c>
      <c r="I20" s="91" t="str" cm="1">
        <f t="array" ref="I20">IFERROR(INDEX('Budget planning'!$C:$C,header_row_id),"")</f>
        <v/>
      </c>
      <c r="J20" t="str" cm="1">
        <f t="array" ref="J20">IFERROR(INDEX('Budget planning'!$C:$C,row_id),"")</f>
        <v/>
      </c>
      <c r="K20" s="72" t="str" cm="1">
        <f t="array" ref="K20">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20" s="94" t="str" cm="1">
        <f t="array" ref="L20">IF(OR(is_header, _is_empty), "",
     INDEX('Budget planning'!$E:$DY, row_id,
        MATCH(IF(selected_period="Total Year", selected_year, DATE(selected_year, selected_period, 1)), 'Budget planning'!$E$10:$DY$10, 0) ))</f>
        <v/>
      </c>
      <c r="M20" s="91" t="str" cm="1">
        <f t="array" ref="M20">IF(is_cat,
          IF(header_row_id=Income_header_row, MATCH(income_min_row,$C:$C, 0),
            IF(header_row_id=expenses_header_row, MATCH(expenses_min_row,$C:$C, 0),
                  IF(header_row_id=savings_header_row, MATCH(savings_min_row,$C:$C, 0), ""))), "")</f>
        <v/>
      </c>
      <c r="N20" s="92" t="str" cm="1">
        <f t="array" ref="N20">IF(is_cat,
          IF(header_row_id=Income_header_row, MATCH(Income_max_row,$C:$C, 0),
            IF(header_row_id=expenses_header_row, MATCH(expenses_max_row,$C:$C, 0),
                  IF(header_row_id=savings_header_row, MATCH(savings_max_row,$C:$C, 0), ""))), "")</f>
        <v/>
      </c>
      <c r="O20" s="91" t="str">
        <f t="shared" si="3"/>
        <v/>
      </c>
      <c r="P20" t="str">
        <f t="shared" ca="1" si="4"/>
        <v/>
      </c>
      <c r="Q20" t="str">
        <f t="shared" si="5"/>
        <v/>
      </c>
      <c r="R20" s="92" t="str">
        <f t="shared" ca="1" si="6"/>
        <v/>
      </c>
      <c r="S20" s="91" t="str">
        <f t="shared" si="7"/>
        <v/>
      </c>
      <c r="T20" t="str">
        <f t="shared" si="8"/>
        <v/>
      </c>
      <c r="U20" t="str">
        <f t="shared" ca="1" si="9"/>
        <v/>
      </c>
      <c r="V20" t="str">
        <f t="shared" si="10"/>
        <v/>
      </c>
      <c r="W20" s="92" t="str">
        <f t="shared" ca="1" si="11"/>
        <v/>
      </c>
      <c r="X20" s="96" t="str">
        <f t="shared" si="12"/>
        <v>/1</v>
      </c>
      <c r="Y20" s="97" t="str">
        <f t="shared" si="13"/>
        <v/>
      </c>
      <c r="Z20" s="100" t="str">
        <f t="shared" si="14"/>
        <v/>
      </c>
      <c r="AA20" s="100" t="str">
        <f t="shared" si="15"/>
        <v/>
      </c>
      <c r="AB20" s="99" t="str">
        <f t="shared" si="16"/>
        <v/>
      </c>
      <c r="AC20" s="100" t="str">
        <f t="shared" si="17"/>
        <v/>
      </c>
      <c r="AD20" s="100" t="str">
        <f t="shared" si="18"/>
        <v/>
      </c>
      <c r="AF20" s="106"/>
      <c r="AI20" s="117" t="str">
        <f ca="1">Calculations!E40</f>
        <v/>
      </c>
      <c r="AJ20" s="118" t="str">
        <f ca="1">Calculations!I40</f>
        <v/>
      </c>
      <c r="AK20" s="4"/>
      <c r="AM20" s="106"/>
      <c r="AR20" s="4"/>
    </row>
    <row r="21" spans="3:44" x14ac:dyDescent="0.3">
      <c r="C21" s="91" cm="1">
        <f t="array" ref="C21">IF(C20=-1,-1,
    IF(C20&lt;Income_max_row, C20+1,
      IF(C20=Income_max_row, income_total_row,
       IF(C20=income_total_row, "/1",
                     IF(C20="/1", expenses_header_row,
                        IF(C20&lt;expenses_max_row,C20+1,
                             IF(C20=expenses_max_row, expenses_total_row,
                                          IF(C20=expenses_total_row, "/2",
                                                  IF(C20="/2", savings_header_row,
                                                               IF(C20&lt;savings_max_row, C20+1,
                                                                    IF(C20=savings_max_row,savings_total_row, -1)))))))))))</f>
        <v>27</v>
      </c>
      <c r="D21" s="92">
        <f t="shared" si="0"/>
        <v>27</v>
      </c>
      <c r="E21" s="91" cm="1">
        <f t="array" ref="E21">1*OR(row_id=Income_header_row,row_id=expenses_header_row,row_id=savings_header_row)</f>
        <v>1</v>
      </c>
      <c r="F21">
        <f t="shared" si="1"/>
        <v>0</v>
      </c>
      <c r="G21" cm="1">
        <f t="array" ref="G21">1*OR(row_id=income_total_row, row_id=expenses_total_row,row_id=savings_total_row)</f>
        <v>0</v>
      </c>
      <c r="H21" s="92">
        <f t="shared" si="2"/>
        <v>0</v>
      </c>
      <c r="I21" s="91" t="str" cm="1">
        <f t="array" ref="I21">IFERROR(INDEX('Budget planning'!$C:$C,header_row_id),"")</f>
        <v>Expenses</v>
      </c>
      <c r="J21" t="str" cm="1">
        <f t="array" ref="J21">IFERROR(INDEX('Budget planning'!$C:$C,row_id),"")</f>
        <v>Expenses</v>
      </c>
      <c r="K21" s="72" t="str" cm="1">
        <f t="array" ref="K21">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21" s="94" t="str" cm="1">
        <f t="array" ref="L21">IF(OR(is_header, _is_empty), "",
     INDEX('Budget planning'!$E:$DY, row_id,
        MATCH(IF(selected_period="Total Year", selected_year, DATE(selected_year, selected_period, 1)), 'Budget planning'!$E$10:$DY$10, 0) ))</f>
        <v/>
      </c>
      <c r="M21" s="91" t="str" cm="1">
        <f t="array" ref="M21">IF(is_cat,
          IF(header_row_id=Income_header_row, MATCH(income_min_row,$C:$C, 0),
            IF(header_row_id=expenses_header_row, MATCH(expenses_min_row,$C:$C, 0),
                  IF(header_row_id=savings_header_row, MATCH(savings_min_row,$C:$C, 0), ""))), "")</f>
        <v/>
      </c>
      <c r="N21" s="92" t="str" cm="1">
        <f t="array" ref="N21">IF(is_cat,
          IF(header_row_id=Income_header_row, MATCH(Income_max_row,$C:$C, 0),
            IF(header_row_id=expenses_header_row, MATCH(expenses_max_row,$C:$C, 0),
                  IF(header_row_id=savings_header_row, MATCH(savings_max_row,$C:$C, 0), ""))), "")</f>
        <v/>
      </c>
      <c r="O21" s="91" t="str">
        <f t="shared" si="3"/>
        <v/>
      </c>
      <c r="P21" t="str">
        <f t="shared" ca="1" si="4"/>
        <v/>
      </c>
      <c r="Q21" t="str">
        <f t="shared" si="5"/>
        <v/>
      </c>
      <c r="R21" s="92" t="str">
        <f t="shared" ca="1" si="6"/>
        <v/>
      </c>
      <c r="S21" s="91" t="str">
        <f t="shared" si="7"/>
        <v/>
      </c>
      <c r="T21" t="str">
        <f t="shared" si="8"/>
        <v/>
      </c>
      <c r="U21" t="str">
        <f t="shared" ca="1" si="9"/>
        <v/>
      </c>
      <c r="V21" t="str">
        <f t="shared" si="10"/>
        <v/>
      </c>
      <c r="W21" s="92" t="str">
        <f t="shared" ca="1" si="11"/>
        <v/>
      </c>
      <c r="X21" s="96">
        <f t="shared" si="12"/>
        <v>27</v>
      </c>
      <c r="Y21" s="97" t="str">
        <f t="shared" ca="1" si="13"/>
        <v>Expenses</v>
      </c>
      <c r="Z21" s="100" t="str">
        <f t="shared" si="14"/>
        <v>Tracked</v>
      </c>
      <c r="AA21" s="100" t="str">
        <f t="shared" si="15"/>
        <v>Budget</v>
      </c>
      <c r="AB21" s="99" t="str">
        <f t="shared" si="16"/>
        <v>% Compl.</v>
      </c>
      <c r="AC21" s="100" t="str">
        <f t="shared" si="17"/>
        <v>Remaining</v>
      </c>
      <c r="AD21" s="100" t="str">
        <f t="shared" si="18"/>
        <v>Excess</v>
      </c>
      <c r="AF21" s="106"/>
      <c r="AI21" s="117" t="str">
        <f ca="1">Calculations!E41</f>
        <v/>
      </c>
      <c r="AJ21" s="118" t="str">
        <f ca="1">Calculations!I41</f>
        <v/>
      </c>
      <c r="AK21" s="4"/>
      <c r="AM21" s="106"/>
      <c r="AR21" s="4"/>
    </row>
    <row r="22" spans="3:44" x14ac:dyDescent="0.3">
      <c r="C22" s="91" cm="1">
        <f t="array" ref="C22">IF(C21=-1,-1,
    IF(C21&lt;Income_max_row, C21+1,
      IF(C21=Income_max_row, income_total_row,
       IF(C21=income_total_row, "/1",
                     IF(C21="/1", expenses_header_row,
                        IF(C21&lt;expenses_max_row,C21+1,
                             IF(C21=expenses_max_row, expenses_total_row,
                                          IF(C21=expenses_total_row, "/2",
                                                  IF(C21="/2", savings_header_row,
                                                               IF(C21&lt;savings_max_row, C21+1,
                                                                    IF(C21=savings_max_row,savings_total_row, -1)))))))))))</f>
        <v>28</v>
      </c>
      <c r="D22" s="92">
        <f t="shared" si="0"/>
        <v>27</v>
      </c>
      <c r="E22" s="91" cm="1">
        <f t="array" ref="E22">1*OR(row_id=Income_header_row,row_id=expenses_header_row,row_id=savings_header_row)</f>
        <v>0</v>
      </c>
      <c r="F22">
        <f t="shared" si="1"/>
        <v>1</v>
      </c>
      <c r="G22" cm="1">
        <f t="array" ref="G22">1*OR(row_id=income_total_row, row_id=expenses_total_row,row_id=savings_total_row)</f>
        <v>0</v>
      </c>
      <c r="H22" s="92">
        <f t="shared" si="2"/>
        <v>0</v>
      </c>
      <c r="I22" s="91" t="str" cm="1">
        <f t="array" ref="I22">IFERROR(INDEX('Budget planning'!$C:$C,header_row_id),"")</f>
        <v>Expenses</v>
      </c>
      <c r="J22" t="str" cm="1">
        <f t="array" ref="J22">IFERROR(INDEX('Budget planning'!$C:$C,row_id),"")</f>
        <v>House Rent</v>
      </c>
      <c r="K22" s="72" cm="1">
        <f t="array" ref="K22">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22" s="94" cm="1">
        <f t="array" ref="L22">IF(OR(is_header, _is_empty), "",
     INDEX('Budget planning'!$E:$DY, row_id,
        MATCH(IF(selected_period="Total Year", selected_year, DATE(selected_year, selected_period, 1)), 'Budget planning'!$E$10:$DY$10, 0) ))</f>
        <v>8750</v>
      </c>
      <c r="M22" s="91" cm="1">
        <f t="array" ref="M22">IF(is_cat,
          IF(header_row_id=Income_header_row, MATCH(income_min_row,$C:$C, 0),
            IF(header_row_id=expenses_header_row, MATCH(expenses_min_row,$C:$C, 0),
                  IF(header_row_id=savings_header_row, MATCH(savings_min_row,$C:$C, 0), ""))), "")</f>
        <v>22</v>
      </c>
      <c r="N22" s="92" cm="1">
        <f t="array" ref="N22">IF(is_cat,
          IF(header_row_id=Income_header_row, MATCH(Income_max_row,$C:$C, 0),
            IF(header_row_id=expenses_header_row, MATCH(expenses_max_row,$C:$C, 0),
                  IF(header_row_id=savings_header_row, MATCH(savings_max_row,$C:$C, 0), ""))), "")</f>
        <v>34</v>
      </c>
      <c r="O22" s="91" t="str">
        <f t="shared" si="3"/>
        <v>$K$22:$K$34</v>
      </c>
      <c r="P22">
        <f t="shared" ca="1" si="4"/>
        <v>1</v>
      </c>
      <c r="Q22" t="str">
        <f t="shared" si="5"/>
        <v>$L$22:$L$34</v>
      </c>
      <c r="R22" s="92">
        <f t="shared" ca="1" si="6"/>
        <v>1</v>
      </c>
      <c r="S22" s="91">
        <f t="shared" ca="1" si="7"/>
        <v>11</v>
      </c>
      <c r="T22" t="str">
        <f t="shared" si="8"/>
        <v>$S$22:$S$34</v>
      </c>
      <c r="U22">
        <f t="shared" ca="1" si="9"/>
        <v>1</v>
      </c>
      <c r="V22" t="str">
        <f t="shared" si="10"/>
        <v>$U$22:$U$22</v>
      </c>
      <c r="W22" s="92">
        <f t="shared" ca="1" si="11"/>
        <v>1</v>
      </c>
      <c r="X22" s="96">
        <f t="shared" ca="1" si="12"/>
        <v>28</v>
      </c>
      <c r="Y22" s="97" t="str">
        <f t="shared" ca="1" si="13"/>
        <v>House Rent</v>
      </c>
      <c r="Z22" s="100">
        <f t="shared" ca="1" si="14"/>
        <v>0</v>
      </c>
      <c r="AA22" s="100">
        <f t="shared" ca="1" si="15"/>
        <v>8750</v>
      </c>
      <c r="AB22" s="99">
        <f t="shared" ca="1" si="16"/>
        <v>0</v>
      </c>
      <c r="AC22" s="100">
        <f t="shared" ca="1" si="17"/>
        <v>8750</v>
      </c>
      <c r="AD22" s="100">
        <f t="shared" ca="1" si="18"/>
        <v>0</v>
      </c>
      <c r="AF22" s="106"/>
      <c r="AI22" s="119" t="str">
        <f>Calculations!E42</f>
        <v>Total</v>
      </c>
      <c r="AJ22" s="120">
        <f ca="1">Calculations!I42</f>
        <v>0</v>
      </c>
      <c r="AK22" s="4"/>
      <c r="AM22" s="106"/>
      <c r="AR22" s="4"/>
    </row>
    <row r="23" spans="3:44" x14ac:dyDescent="0.3">
      <c r="C23" s="91" cm="1">
        <f t="array" ref="C23">IF(C22=-1,-1,
    IF(C22&lt;Income_max_row, C22+1,
      IF(C22=Income_max_row, income_total_row,
       IF(C22=income_total_row, "/1",
                     IF(C22="/1", expenses_header_row,
                        IF(C22&lt;expenses_max_row,C22+1,
                             IF(C22=expenses_max_row, expenses_total_row,
                                          IF(C22=expenses_total_row, "/2",
                                                  IF(C22="/2", savings_header_row,
                                                               IF(C22&lt;savings_max_row, C22+1,
                                                                    IF(C22=savings_max_row,savings_total_row, -1)))))))))))</f>
        <v>29</v>
      </c>
      <c r="D23" s="92">
        <f t="shared" si="0"/>
        <v>27</v>
      </c>
      <c r="E23" s="91" cm="1">
        <f t="array" ref="E23">1*OR(row_id=Income_header_row,row_id=expenses_header_row,row_id=savings_header_row)</f>
        <v>0</v>
      </c>
      <c r="F23">
        <f t="shared" si="1"/>
        <v>1</v>
      </c>
      <c r="G23" cm="1">
        <f t="array" ref="G23">1*OR(row_id=income_total_row, row_id=expenses_total_row,row_id=savings_total_row)</f>
        <v>0</v>
      </c>
      <c r="H23" s="92">
        <f t="shared" si="2"/>
        <v>0</v>
      </c>
      <c r="I23" s="91" t="str" cm="1">
        <f t="array" ref="I23">IFERROR(INDEX('Budget planning'!$C:$C,header_row_id),"")</f>
        <v>Expenses</v>
      </c>
      <c r="J23" t="str" cm="1">
        <f t="array" ref="J23">IFERROR(INDEX('Budget planning'!$C:$C,row_id),"")</f>
        <v>Groceries</v>
      </c>
      <c r="K23" s="72" cm="1">
        <f t="array" ref="K23">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23" s="94" cm="1">
        <f t="array" ref="L23">IF(OR(is_header, _is_empty), "",
     INDEX('Budget planning'!$E:$DY, row_id,
        MATCH(IF(selected_period="Total Year", selected_year, DATE(selected_year, selected_period, 1)), 'Budget planning'!$E$10:$DY$10, 0) ))</f>
        <v>2300</v>
      </c>
      <c r="M23" s="91" cm="1">
        <f t="array" ref="M23">IF(is_cat,
          IF(header_row_id=Income_header_row, MATCH(income_min_row,$C:$C, 0),
            IF(header_row_id=expenses_header_row, MATCH(expenses_min_row,$C:$C, 0),
                  IF(header_row_id=savings_header_row, MATCH(savings_min_row,$C:$C, 0), ""))), "")</f>
        <v>22</v>
      </c>
      <c r="N23" s="92" cm="1">
        <f t="array" ref="N23">IF(is_cat,
          IF(header_row_id=Income_header_row, MATCH(Income_max_row,$C:$C, 0),
            IF(header_row_id=expenses_header_row, MATCH(expenses_max_row,$C:$C, 0),
                  IF(header_row_id=savings_header_row, MATCH(savings_max_row,$C:$C, 0), ""))), "")</f>
        <v>34</v>
      </c>
      <c r="O23" s="91" t="str">
        <f t="shared" si="3"/>
        <v>$K$22:$K$34</v>
      </c>
      <c r="P23">
        <f t="shared" ca="1" si="4"/>
        <v>1</v>
      </c>
      <c r="Q23" t="str">
        <f t="shared" si="5"/>
        <v>$L$22:$L$34</v>
      </c>
      <c r="R23" s="92">
        <f t="shared" ca="1" si="6"/>
        <v>5</v>
      </c>
      <c r="S23" s="91">
        <f t="shared" ca="1" si="7"/>
        <v>15</v>
      </c>
      <c r="T23" t="str">
        <f t="shared" si="8"/>
        <v>$S$22:$S$34</v>
      </c>
      <c r="U23">
        <f t="shared" ca="1" si="9"/>
        <v>5</v>
      </c>
      <c r="V23" t="str">
        <f t="shared" si="10"/>
        <v>$U$22:$U$23</v>
      </c>
      <c r="W23" s="92">
        <f t="shared" ca="1" si="11"/>
        <v>5</v>
      </c>
      <c r="X23" s="96">
        <f t="shared" ca="1" si="12"/>
        <v>32</v>
      </c>
      <c r="Y23" s="97" t="str">
        <f ca="1">IF(_is_empty, "", INDEX(J:J, MATCH(row_id, X:X, 0)))</f>
        <v>Loan</v>
      </c>
      <c r="Z23" s="100">
        <f t="shared" ca="1" si="14"/>
        <v>0</v>
      </c>
      <c r="AA23" s="100">
        <f t="shared" ca="1" si="15"/>
        <v>4100</v>
      </c>
      <c r="AB23" s="99">
        <f t="shared" ca="1" si="16"/>
        <v>0</v>
      </c>
      <c r="AC23" s="100">
        <f t="shared" ca="1" si="17"/>
        <v>4100</v>
      </c>
      <c r="AD23" s="100">
        <f t="shared" ca="1" si="18"/>
        <v>0</v>
      </c>
      <c r="AF23" s="106"/>
      <c r="AK23" s="4"/>
      <c r="AM23" s="106"/>
      <c r="AR23" s="4"/>
    </row>
    <row r="24" spans="3:44" x14ac:dyDescent="0.3">
      <c r="C24" s="91" cm="1">
        <f t="array" ref="C24">IF(C23=-1,-1,
    IF(C23&lt;Income_max_row, C23+1,
      IF(C23=Income_max_row, income_total_row,
       IF(C23=income_total_row, "/1",
                     IF(C23="/1", expenses_header_row,
                        IF(C23&lt;expenses_max_row,C23+1,
                             IF(C23=expenses_max_row, expenses_total_row,
                                          IF(C23=expenses_total_row, "/2",
                                                  IF(C23="/2", savings_header_row,
                                                               IF(C23&lt;savings_max_row, C23+1,
                                                                    IF(C23=savings_max_row,savings_total_row, -1)))))))))))</f>
        <v>30</v>
      </c>
      <c r="D24" s="92">
        <f t="shared" si="0"/>
        <v>27</v>
      </c>
      <c r="E24" s="91" cm="1">
        <f t="array" ref="E24">1*OR(row_id=Income_header_row,row_id=expenses_header_row,row_id=savings_header_row)</f>
        <v>0</v>
      </c>
      <c r="F24">
        <f t="shared" si="1"/>
        <v>1</v>
      </c>
      <c r="G24" cm="1">
        <f t="array" ref="G24">1*OR(row_id=income_total_row, row_id=expenses_total_row,row_id=savings_total_row)</f>
        <v>0</v>
      </c>
      <c r="H24" s="92">
        <f t="shared" si="2"/>
        <v>0</v>
      </c>
      <c r="I24" s="91" t="str" cm="1">
        <f t="array" ref="I24">IFERROR(INDEX('Budget planning'!$C:$C,header_row_id),"")</f>
        <v>Expenses</v>
      </c>
      <c r="J24" t="str" cm="1">
        <f t="array" ref="J24">IFERROR(INDEX('Budget planning'!$C:$C,row_id),"")</f>
        <v>Loan</v>
      </c>
      <c r="K24" s="72" cm="1">
        <f t="array" ref="K24">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24" s="94" cm="1">
        <f t="array" ref="L24">IF(OR(is_header, _is_empty), "",
     INDEX('Budget planning'!$E:$DY, row_id,
        MATCH(IF(selected_period="Total Year", selected_year, DATE(selected_year, selected_period, 1)), 'Budget planning'!$E$10:$DY$10, 0) ))</f>
        <v>4100</v>
      </c>
      <c r="M24" s="91" cm="1">
        <f t="array" ref="M24">IF(is_cat,
          IF(header_row_id=Income_header_row, MATCH(income_min_row,$C:$C, 0),
            IF(header_row_id=expenses_header_row, MATCH(expenses_min_row,$C:$C, 0),
                  IF(header_row_id=savings_header_row, MATCH(savings_min_row,$C:$C, 0), ""))), "")</f>
        <v>22</v>
      </c>
      <c r="N24" s="92" cm="1">
        <f t="array" ref="N24">IF(is_cat,
          IF(header_row_id=Income_header_row, MATCH(Income_max_row,$C:$C, 0),
            IF(header_row_id=expenses_header_row, MATCH(expenses_max_row,$C:$C, 0),
                  IF(header_row_id=savings_header_row, MATCH(savings_max_row,$C:$C, 0), ""))), "")</f>
        <v>34</v>
      </c>
      <c r="O24" s="91" t="str">
        <f t="shared" si="3"/>
        <v>$K$22:$K$34</v>
      </c>
      <c r="P24">
        <f t="shared" ca="1" si="4"/>
        <v>1</v>
      </c>
      <c r="Q24" t="str">
        <f t="shared" si="5"/>
        <v>$L$22:$L$34</v>
      </c>
      <c r="R24" s="92">
        <f t="shared" ca="1" si="6"/>
        <v>2</v>
      </c>
      <c r="S24" s="91">
        <f t="shared" ca="1" si="7"/>
        <v>12</v>
      </c>
      <c r="T24" t="str">
        <f t="shared" si="8"/>
        <v>$S$22:$S$34</v>
      </c>
      <c r="U24">
        <f t="shared" ca="1" si="9"/>
        <v>2</v>
      </c>
      <c r="V24" t="str">
        <f t="shared" si="10"/>
        <v>$U$22:$U$24</v>
      </c>
      <c r="W24" s="92">
        <f t="shared" ca="1" si="11"/>
        <v>2</v>
      </c>
      <c r="X24" s="96">
        <f t="shared" ca="1" si="12"/>
        <v>29</v>
      </c>
      <c r="Y24" s="97" t="str">
        <f t="shared" ca="1" si="13"/>
        <v>Personal Expenses</v>
      </c>
      <c r="Z24" s="100">
        <f t="shared" ca="1" si="14"/>
        <v>0</v>
      </c>
      <c r="AA24" s="100">
        <f t="shared" ca="1" si="15"/>
        <v>2400</v>
      </c>
      <c r="AB24" s="99">
        <f t="shared" ca="1" si="16"/>
        <v>0</v>
      </c>
      <c r="AC24" s="100">
        <f t="shared" ca="1" si="17"/>
        <v>2400</v>
      </c>
      <c r="AD24" s="100">
        <f t="shared" ca="1" si="18"/>
        <v>0</v>
      </c>
      <c r="AF24" s="107"/>
      <c r="AG24" s="101"/>
      <c r="AH24" s="101"/>
      <c r="AI24" s="101"/>
      <c r="AJ24" s="101"/>
      <c r="AK24" s="102"/>
      <c r="AM24" s="107"/>
      <c r="AN24" s="101"/>
      <c r="AO24" s="101"/>
      <c r="AP24" s="101"/>
      <c r="AQ24" s="101"/>
      <c r="AR24" s="102"/>
    </row>
    <row r="25" spans="3:44" x14ac:dyDescent="0.3">
      <c r="C25" s="91" cm="1">
        <f t="array" ref="C25">IF(C24=-1,-1,
    IF(C24&lt;Income_max_row, C24+1,
      IF(C24=Income_max_row, income_total_row,
       IF(C24=income_total_row, "/1",
                     IF(C24="/1", expenses_header_row,
                        IF(C24&lt;expenses_max_row,C24+1,
                             IF(C24=expenses_max_row, expenses_total_row,
                                          IF(C24=expenses_total_row, "/2",
                                                  IF(C24="/2", savings_header_row,
                                                               IF(C24&lt;savings_max_row, C24+1,
                                                                    IF(C24=savings_max_row,savings_total_row, -1)))))))))))</f>
        <v>31</v>
      </c>
      <c r="D25" s="92">
        <f t="shared" si="0"/>
        <v>27</v>
      </c>
      <c r="E25" s="91" cm="1">
        <f t="array" ref="E25">1*OR(row_id=Income_header_row,row_id=expenses_header_row,row_id=savings_header_row)</f>
        <v>0</v>
      </c>
      <c r="F25">
        <f t="shared" si="1"/>
        <v>1</v>
      </c>
      <c r="G25" cm="1">
        <f t="array" ref="G25">1*OR(row_id=income_total_row, row_id=expenses_total_row,row_id=savings_total_row)</f>
        <v>0</v>
      </c>
      <c r="H25" s="92">
        <f t="shared" si="2"/>
        <v>0</v>
      </c>
      <c r="I25" s="91" t="str" cm="1">
        <f t="array" ref="I25">IFERROR(INDEX('Budget planning'!$C:$C,header_row_id),"")</f>
        <v>Expenses</v>
      </c>
      <c r="J25" t="str" cm="1">
        <f t="array" ref="J25">IFERROR(INDEX('Budget planning'!$C:$C,row_id),"")</f>
        <v>Phone Bill</v>
      </c>
      <c r="K25" s="72" cm="1">
        <f t="array" ref="K25">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25" s="94" cm="1">
        <f t="array" ref="L25">IF(OR(is_header, _is_empty), "",
     INDEX('Budget planning'!$E:$DY, row_id,
        MATCH(IF(selected_period="Total Year", selected_year, DATE(selected_year, selected_period, 1)), 'Budget planning'!$E$10:$DY$10, 0) ))</f>
        <v>1140</v>
      </c>
      <c r="M25" s="91" cm="1">
        <f t="array" ref="M25">IF(is_cat,
          IF(header_row_id=Income_header_row, MATCH(income_min_row,$C:$C, 0),
            IF(header_row_id=expenses_header_row, MATCH(expenses_min_row,$C:$C, 0),
                  IF(header_row_id=savings_header_row, MATCH(savings_min_row,$C:$C, 0), ""))), "")</f>
        <v>22</v>
      </c>
      <c r="N25" s="92" cm="1">
        <f t="array" ref="N25">IF(is_cat,
          IF(header_row_id=Income_header_row, MATCH(Income_max_row,$C:$C, 0),
            IF(header_row_id=expenses_header_row, MATCH(expenses_max_row,$C:$C, 0),
                  IF(header_row_id=savings_header_row, MATCH(savings_max_row,$C:$C, 0), ""))), "")</f>
        <v>34</v>
      </c>
      <c r="O25" s="91" t="str">
        <f t="shared" si="3"/>
        <v>$K$22:$K$34</v>
      </c>
      <c r="P25">
        <f t="shared" ca="1" si="4"/>
        <v>1</v>
      </c>
      <c r="Q25" t="str">
        <f t="shared" si="5"/>
        <v>$L$22:$L$34</v>
      </c>
      <c r="R25" s="92">
        <f t="shared" ca="1" si="6"/>
        <v>6</v>
      </c>
      <c r="S25" s="91">
        <f t="shared" ca="1" si="7"/>
        <v>16</v>
      </c>
      <c r="T25" t="str">
        <f t="shared" si="8"/>
        <v>$S$22:$S$34</v>
      </c>
      <c r="U25">
        <f t="shared" ca="1" si="9"/>
        <v>6</v>
      </c>
      <c r="V25" t="str">
        <f t="shared" si="10"/>
        <v>$U$22:$U$25</v>
      </c>
      <c r="W25" s="92">
        <f t="shared" ca="1" si="11"/>
        <v>6</v>
      </c>
      <c r="X25" s="96">
        <f t="shared" ca="1" si="12"/>
        <v>33</v>
      </c>
      <c r="Y25" s="97" t="str">
        <f t="shared" ca="1" si="13"/>
        <v>Transportation</v>
      </c>
      <c r="Z25" s="100">
        <f t="shared" ca="1" si="14"/>
        <v>0</v>
      </c>
      <c r="AA25" s="100">
        <f t="shared" ca="1" si="15"/>
        <v>2330</v>
      </c>
      <c r="AB25" s="99">
        <f t="shared" ca="1" si="16"/>
        <v>0</v>
      </c>
      <c r="AC25" s="100">
        <f t="shared" ca="1" si="17"/>
        <v>2330</v>
      </c>
      <c r="AD25" s="100">
        <f t="shared" ca="1" si="18"/>
        <v>0</v>
      </c>
    </row>
    <row r="26" spans="3:44" x14ac:dyDescent="0.3">
      <c r="C26" s="91" cm="1">
        <f t="array" ref="C26">IF(C25=-1,-1,
    IF(C25&lt;Income_max_row, C25+1,
      IF(C25=Income_max_row, income_total_row,
       IF(C25=income_total_row, "/1",
                     IF(C25="/1", expenses_header_row,
                        IF(C25&lt;expenses_max_row,C25+1,
                             IF(C25=expenses_max_row, expenses_total_row,
                                          IF(C25=expenses_total_row, "/2",
                                                  IF(C25="/2", savings_header_row,
                                                               IF(C25&lt;savings_max_row, C25+1,
                                                                    IF(C25=savings_max_row,savings_total_row, -1)))))))))))</f>
        <v>32</v>
      </c>
      <c r="D26" s="92">
        <f t="shared" si="0"/>
        <v>27</v>
      </c>
      <c r="E26" s="91" cm="1">
        <f t="array" ref="E26">1*OR(row_id=Income_header_row,row_id=expenses_header_row,row_id=savings_header_row)</f>
        <v>0</v>
      </c>
      <c r="F26">
        <f t="shared" si="1"/>
        <v>1</v>
      </c>
      <c r="G26" cm="1">
        <f t="array" ref="G26">1*OR(row_id=income_total_row, row_id=expenses_total_row,row_id=savings_total_row)</f>
        <v>0</v>
      </c>
      <c r="H26" s="92">
        <f t="shared" si="2"/>
        <v>0</v>
      </c>
      <c r="I26" s="91" t="str" cm="1">
        <f t="array" ref="I26">IFERROR(INDEX('Budget planning'!$C:$C,header_row_id),"")</f>
        <v>Expenses</v>
      </c>
      <c r="J26" t="str" cm="1">
        <f t="array" ref="J26">IFERROR(INDEX('Budget planning'!$C:$C,row_id),"")</f>
        <v>Utilities</v>
      </c>
      <c r="K26" s="72" cm="1">
        <f t="array" ref="K26">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26" s="94" cm="1">
        <f t="array" ref="L26">IF(OR(is_header, _is_empty), "",
     INDEX('Budget planning'!$E:$DY, row_id,
        MATCH(IF(selected_period="Total Year", selected_year, DATE(selected_year, selected_period, 1)), 'Budget planning'!$E$10:$DY$10, 0) ))</f>
        <v>0</v>
      </c>
      <c r="M26" s="91" cm="1">
        <f t="array" ref="M26">IF(is_cat,
          IF(header_row_id=Income_header_row, MATCH(income_min_row,$C:$C, 0),
            IF(header_row_id=expenses_header_row, MATCH(expenses_min_row,$C:$C, 0),
                  IF(header_row_id=savings_header_row, MATCH(savings_min_row,$C:$C, 0), ""))), "")</f>
        <v>22</v>
      </c>
      <c r="N26" s="92" cm="1">
        <f t="array" ref="N26">IF(is_cat,
          IF(header_row_id=Income_header_row, MATCH(Income_max_row,$C:$C, 0),
            IF(header_row_id=expenses_header_row, MATCH(expenses_max_row,$C:$C, 0),
                  IF(header_row_id=savings_header_row, MATCH(savings_max_row,$C:$C, 0), ""))), "")</f>
        <v>34</v>
      </c>
      <c r="O26" s="91" t="str">
        <f t="shared" si="3"/>
        <v>$K$22:$K$34</v>
      </c>
      <c r="P26">
        <f t="shared" ca="1" si="4"/>
        <v>1</v>
      </c>
      <c r="Q26" t="str">
        <f t="shared" si="5"/>
        <v>$L$22:$L$34</v>
      </c>
      <c r="R26" s="92">
        <f t="shared" ca="1" si="6"/>
        <v>9</v>
      </c>
      <c r="S26" s="91">
        <f t="shared" ca="1" si="7"/>
        <v>19</v>
      </c>
      <c r="T26" t="str">
        <f t="shared" si="8"/>
        <v>$S$22:$S$34</v>
      </c>
      <c r="U26">
        <f t="shared" ca="1" si="9"/>
        <v>9</v>
      </c>
      <c r="V26" t="str">
        <f t="shared" si="10"/>
        <v>$U$22:$U$26</v>
      </c>
      <c r="W26" s="92">
        <f t="shared" ca="1" si="11"/>
        <v>9</v>
      </c>
      <c r="X26" s="96">
        <f t="shared" ca="1" si="12"/>
        <v>36</v>
      </c>
      <c r="Y26" s="97" t="str">
        <f t="shared" ca="1" si="13"/>
        <v>Groceries</v>
      </c>
      <c r="Z26" s="100">
        <f t="shared" ca="1" si="14"/>
        <v>0</v>
      </c>
      <c r="AA26" s="100">
        <f t="shared" ca="1" si="15"/>
        <v>2300</v>
      </c>
      <c r="AB26" s="99">
        <f t="shared" ca="1" si="16"/>
        <v>0</v>
      </c>
      <c r="AC26" s="100">
        <f t="shared" ca="1" si="17"/>
        <v>2300</v>
      </c>
      <c r="AD26" s="100">
        <f t="shared" ca="1" si="18"/>
        <v>0</v>
      </c>
      <c r="AF26" s="103"/>
      <c r="AG26" s="104"/>
      <c r="AH26" s="104"/>
      <c r="AI26" s="104"/>
      <c r="AJ26" s="104"/>
      <c r="AK26" s="105"/>
      <c r="AM26" s="103"/>
      <c r="AN26" s="104"/>
      <c r="AO26" s="104"/>
      <c r="AP26" s="104"/>
      <c r="AQ26" s="104"/>
      <c r="AR26" s="105"/>
    </row>
    <row r="27" spans="3:44" x14ac:dyDescent="0.3">
      <c r="C27" s="91" cm="1">
        <f t="array" ref="C27">IF(C26=-1,-1,
    IF(C26&lt;Income_max_row, C26+1,
      IF(C26=Income_max_row, income_total_row,
       IF(C26=income_total_row, "/1",
                     IF(C26="/1", expenses_header_row,
                        IF(C26&lt;expenses_max_row,C26+1,
                             IF(C26=expenses_max_row, expenses_total_row,
                                          IF(C26=expenses_total_row, "/2",
                                                  IF(C26="/2", savings_header_row,
                                                               IF(C26&lt;savings_max_row, C26+1,
                                                                    IF(C26=savings_max_row,savings_total_row, -1)))))))))))</f>
        <v>33</v>
      </c>
      <c r="D27" s="92">
        <f t="shared" si="0"/>
        <v>27</v>
      </c>
      <c r="E27" s="91" cm="1">
        <f t="array" ref="E27">1*OR(row_id=Income_header_row,row_id=expenses_header_row,row_id=savings_header_row)</f>
        <v>0</v>
      </c>
      <c r="F27">
        <f t="shared" si="1"/>
        <v>1</v>
      </c>
      <c r="G27" cm="1">
        <f t="array" ref="G27">1*OR(row_id=income_total_row, row_id=expenses_total_row,row_id=savings_total_row)</f>
        <v>0</v>
      </c>
      <c r="H27" s="92">
        <f t="shared" si="2"/>
        <v>0</v>
      </c>
      <c r="I27" s="91" t="str" cm="1">
        <f t="array" ref="I27">IFERROR(INDEX('Budget planning'!$C:$C,header_row_id),"")</f>
        <v>Expenses</v>
      </c>
      <c r="J27" t="str" cm="1">
        <f t="array" ref="J27">IFERROR(INDEX('Budget planning'!$C:$C,row_id),"")</f>
        <v>Transportation</v>
      </c>
      <c r="K27" s="72" cm="1">
        <f t="array" ref="K27">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27" s="94" cm="1">
        <f t="array" ref="L27">IF(OR(is_header, _is_empty), "",
     INDEX('Budget planning'!$E:$DY, row_id,
        MATCH(IF(selected_period="Total Year", selected_year, DATE(selected_year, selected_period, 1)), 'Budget planning'!$E$10:$DY$10, 0) ))</f>
        <v>2330</v>
      </c>
      <c r="M27" s="91" cm="1">
        <f t="array" ref="M27">IF(is_cat,
          IF(header_row_id=Income_header_row, MATCH(income_min_row,$C:$C, 0),
            IF(header_row_id=expenses_header_row, MATCH(expenses_min_row,$C:$C, 0),
                  IF(header_row_id=savings_header_row, MATCH(savings_min_row,$C:$C, 0), ""))), "")</f>
        <v>22</v>
      </c>
      <c r="N27" s="92" cm="1">
        <f t="array" ref="N27">IF(is_cat,
          IF(header_row_id=Income_header_row, MATCH(Income_max_row,$C:$C, 0),
            IF(header_row_id=expenses_header_row, MATCH(expenses_max_row,$C:$C, 0),
                  IF(header_row_id=savings_header_row, MATCH(savings_max_row,$C:$C, 0), ""))), "")</f>
        <v>34</v>
      </c>
      <c r="O27" s="91" t="str">
        <f t="shared" si="3"/>
        <v>$K$22:$K$34</v>
      </c>
      <c r="P27">
        <f t="shared" ca="1" si="4"/>
        <v>1</v>
      </c>
      <c r="Q27" t="str">
        <f t="shared" si="5"/>
        <v>$L$22:$L$34</v>
      </c>
      <c r="R27" s="92">
        <f t="shared" ca="1" si="6"/>
        <v>4</v>
      </c>
      <c r="S27" s="91">
        <f t="shared" ca="1" si="7"/>
        <v>14</v>
      </c>
      <c r="T27" t="str">
        <f t="shared" si="8"/>
        <v>$S$22:$S$34</v>
      </c>
      <c r="U27">
        <f t="shared" ca="1" si="9"/>
        <v>4</v>
      </c>
      <c r="V27" t="str">
        <f t="shared" si="10"/>
        <v>$U$22:$U$27</v>
      </c>
      <c r="W27" s="92">
        <f t="shared" ca="1" si="11"/>
        <v>4</v>
      </c>
      <c r="X27" s="96">
        <f t="shared" ca="1" si="12"/>
        <v>31</v>
      </c>
      <c r="Y27" s="97" t="str">
        <f t="shared" ca="1" si="13"/>
        <v>Phone Bill</v>
      </c>
      <c r="Z27" s="100">
        <f t="shared" ca="1" si="14"/>
        <v>0</v>
      </c>
      <c r="AA27" s="100">
        <f t="shared" ca="1" si="15"/>
        <v>1140</v>
      </c>
      <c r="AB27" s="99">
        <f t="shared" ca="1" si="16"/>
        <v>0</v>
      </c>
      <c r="AC27" s="100">
        <f t="shared" ca="1" si="17"/>
        <v>1140</v>
      </c>
      <c r="AD27" s="100">
        <f t="shared" ca="1" si="18"/>
        <v>0</v>
      </c>
      <c r="AF27" s="106"/>
      <c r="AK27" s="4"/>
      <c r="AM27" s="106"/>
      <c r="AR27" s="4"/>
    </row>
    <row r="28" spans="3:44" x14ac:dyDescent="0.3">
      <c r="C28" s="91" cm="1">
        <f t="array" ref="C28">IF(C27=-1,-1,
    IF(C27&lt;Income_max_row, C27+1,
      IF(C27=Income_max_row, income_total_row,
       IF(C27=income_total_row, "/1",
                     IF(C27="/1", expenses_header_row,
                        IF(C27&lt;expenses_max_row,C27+1,
                             IF(C27=expenses_max_row, expenses_total_row,
                                          IF(C27=expenses_total_row, "/2",
                                                  IF(C27="/2", savings_header_row,
                                                               IF(C27&lt;savings_max_row, C27+1,
                                                                    IF(C27=savings_max_row,savings_total_row, -1)))))))))))</f>
        <v>34</v>
      </c>
      <c r="D28" s="92">
        <f t="shared" si="0"/>
        <v>27</v>
      </c>
      <c r="E28" s="91" cm="1">
        <f t="array" ref="E28">1*OR(row_id=Income_header_row,row_id=expenses_header_row,row_id=savings_header_row)</f>
        <v>0</v>
      </c>
      <c r="F28">
        <f t="shared" si="1"/>
        <v>1</v>
      </c>
      <c r="G28" cm="1">
        <f t="array" ref="G28">1*OR(row_id=income_total_row, row_id=expenses_total_row,row_id=savings_total_row)</f>
        <v>0</v>
      </c>
      <c r="H28" s="92">
        <f t="shared" si="2"/>
        <v>0</v>
      </c>
      <c r="I28" s="91" t="str" cm="1">
        <f t="array" ref="I28">IFERROR(INDEX('Budget planning'!$C:$C,header_row_id),"")</f>
        <v>Expenses</v>
      </c>
      <c r="J28" t="str" cm="1">
        <f t="array" ref="J28">IFERROR(INDEX('Budget planning'!$C:$C,row_id),"")</f>
        <v>Personal Expenses</v>
      </c>
      <c r="K28" s="72" cm="1">
        <f t="array" ref="K28">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28" s="94" cm="1">
        <f t="array" ref="L28">IF(OR(is_header, _is_empty), "",
     INDEX('Budget planning'!$E:$DY, row_id,
        MATCH(IF(selected_period="Total Year", selected_year, DATE(selected_year, selected_period, 1)), 'Budget planning'!$E$10:$DY$10, 0) ))</f>
        <v>2400</v>
      </c>
      <c r="M28" s="91" cm="1">
        <f t="array" ref="M28">IF(is_cat,
          IF(header_row_id=Income_header_row, MATCH(income_min_row,$C:$C, 0),
            IF(header_row_id=expenses_header_row, MATCH(expenses_min_row,$C:$C, 0),
                  IF(header_row_id=savings_header_row, MATCH(savings_min_row,$C:$C, 0), ""))), "")</f>
        <v>22</v>
      </c>
      <c r="N28" s="92" cm="1">
        <f t="array" ref="N28">IF(is_cat,
          IF(header_row_id=Income_header_row, MATCH(Income_max_row,$C:$C, 0),
            IF(header_row_id=expenses_header_row, MATCH(expenses_max_row,$C:$C, 0),
                  IF(header_row_id=savings_header_row, MATCH(savings_max_row,$C:$C, 0), ""))), "")</f>
        <v>34</v>
      </c>
      <c r="O28" s="91" t="str">
        <f t="shared" si="3"/>
        <v>$K$22:$K$34</v>
      </c>
      <c r="P28">
        <f t="shared" ca="1" si="4"/>
        <v>1</v>
      </c>
      <c r="Q28" t="str">
        <f t="shared" si="5"/>
        <v>$L$22:$L$34</v>
      </c>
      <c r="R28" s="92">
        <f t="shared" ca="1" si="6"/>
        <v>3</v>
      </c>
      <c r="S28" s="91">
        <f t="shared" ca="1" si="7"/>
        <v>13</v>
      </c>
      <c r="T28" t="str">
        <f t="shared" si="8"/>
        <v>$S$22:$S$34</v>
      </c>
      <c r="U28">
        <f t="shared" ca="1" si="9"/>
        <v>3</v>
      </c>
      <c r="V28" t="str">
        <f t="shared" si="10"/>
        <v>$U$22:$U$28</v>
      </c>
      <c r="W28" s="92">
        <f t="shared" ca="1" si="11"/>
        <v>3</v>
      </c>
      <c r="X28" s="96">
        <f t="shared" ca="1" si="12"/>
        <v>30</v>
      </c>
      <c r="Y28" s="97" t="str">
        <f ca="1">IF(_is_empty, "", INDEX(J:J, MATCH(row_id, X:X, 0)))</f>
        <v>Dining out</v>
      </c>
      <c r="Z28" s="100">
        <f t="shared" ca="1" si="14"/>
        <v>0</v>
      </c>
      <c r="AA28" s="100">
        <f t="shared" ca="1" si="15"/>
        <v>600</v>
      </c>
      <c r="AB28" s="99">
        <f t="shared" ca="1" si="16"/>
        <v>0</v>
      </c>
      <c r="AC28" s="100">
        <f t="shared" ca="1" si="17"/>
        <v>600</v>
      </c>
      <c r="AD28" s="100">
        <f t="shared" ca="1" si="18"/>
        <v>0</v>
      </c>
      <c r="AF28" s="106"/>
      <c r="AK28" s="4"/>
      <c r="AM28" s="106"/>
      <c r="AR28" s="4"/>
    </row>
    <row r="29" spans="3:44" x14ac:dyDescent="0.3">
      <c r="C29" s="91" cm="1">
        <f t="array" ref="C29">IF(C28=-1,-1,
    IF(C28&lt;Income_max_row, C28+1,
      IF(C28=Income_max_row, income_total_row,
       IF(C28=income_total_row, "/1",
                     IF(C28="/1", expenses_header_row,
                        IF(C28&lt;expenses_max_row,C28+1,
                             IF(C28=expenses_max_row, expenses_total_row,
                                          IF(C28=expenses_total_row, "/2",
                                                  IF(C28="/2", savings_header_row,
                                                               IF(C28&lt;savings_max_row, C28+1,
                                                                    IF(C28=savings_max_row,savings_total_row, -1)))))))))))</f>
        <v>35</v>
      </c>
      <c r="D29" s="92">
        <f t="shared" si="0"/>
        <v>27</v>
      </c>
      <c r="E29" s="91" cm="1">
        <f t="array" ref="E29">1*OR(row_id=Income_header_row,row_id=expenses_header_row,row_id=savings_header_row)</f>
        <v>0</v>
      </c>
      <c r="F29">
        <f t="shared" si="1"/>
        <v>1</v>
      </c>
      <c r="G29" cm="1">
        <f t="array" ref="G29">1*OR(row_id=income_total_row, row_id=expenses_total_row,row_id=savings_total_row)</f>
        <v>0</v>
      </c>
      <c r="H29" s="92">
        <f t="shared" si="2"/>
        <v>0</v>
      </c>
      <c r="I29" s="91" t="str" cm="1">
        <f t="array" ref="I29">IFERROR(INDEX('Budget planning'!$C:$C,header_row_id),"")</f>
        <v>Expenses</v>
      </c>
      <c r="J29" t="str" cm="1">
        <f t="array" ref="J29">IFERROR(INDEX('Budget planning'!$C:$C,row_id),"")</f>
        <v>Credit</v>
      </c>
      <c r="K29" s="72" cm="1">
        <f t="array" ref="K29">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29" s="94" cm="1">
        <f t="array" ref="L29">IF(OR(is_header, _is_empty), "",
     INDEX('Budget planning'!$E:$DY, row_id,
        MATCH(IF(selected_period="Total Year", selected_year, DATE(selected_year, selected_period, 1)), 'Budget planning'!$E$10:$DY$10, 0) ))</f>
        <v>0</v>
      </c>
      <c r="M29" s="91" cm="1">
        <f t="array" ref="M29">IF(is_cat,
          IF(header_row_id=Income_header_row, MATCH(income_min_row,$C:$C, 0),
            IF(header_row_id=expenses_header_row, MATCH(expenses_min_row,$C:$C, 0),
                  IF(header_row_id=savings_header_row, MATCH(savings_min_row,$C:$C, 0), ""))), "")</f>
        <v>22</v>
      </c>
      <c r="N29" s="92" cm="1">
        <f t="array" ref="N29">IF(is_cat,
          IF(header_row_id=Income_header_row, MATCH(Income_max_row,$C:$C, 0),
            IF(header_row_id=expenses_header_row, MATCH(expenses_max_row,$C:$C, 0),
                  IF(header_row_id=savings_header_row, MATCH(savings_max_row,$C:$C, 0), ""))), "")</f>
        <v>34</v>
      </c>
      <c r="O29" s="91" t="str">
        <f t="shared" si="3"/>
        <v>$K$22:$K$34</v>
      </c>
      <c r="P29">
        <f t="shared" ca="1" si="4"/>
        <v>1</v>
      </c>
      <c r="Q29" t="str">
        <f t="shared" si="5"/>
        <v>$L$22:$L$34</v>
      </c>
      <c r="R29" s="92">
        <f t="shared" ca="1" si="6"/>
        <v>9</v>
      </c>
      <c r="S29" s="91">
        <f t="shared" ca="1" si="7"/>
        <v>19</v>
      </c>
      <c r="T29" t="str">
        <f t="shared" si="8"/>
        <v>$S$22:$S$34</v>
      </c>
      <c r="U29">
        <f t="shared" ca="1" si="9"/>
        <v>9</v>
      </c>
      <c r="V29" t="str">
        <f t="shared" si="10"/>
        <v>$U$22:$U$29</v>
      </c>
      <c r="W29" s="92">
        <f t="shared" ca="1" si="11"/>
        <v>10</v>
      </c>
      <c r="X29" s="96">
        <f t="shared" ca="1" si="12"/>
        <v>37</v>
      </c>
      <c r="Y29" s="97" t="str">
        <f t="shared" ca="1" si="13"/>
        <v>Outing</v>
      </c>
      <c r="Z29" s="100">
        <f t="shared" ca="1" si="14"/>
        <v>0</v>
      </c>
      <c r="AA29" s="100">
        <f t="shared" ca="1" si="15"/>
        <v>600</v>
      </c>
      <c r="AB29" s="99">
        <f t="shared" ca="1" si="16"/>
        <v>0</v>
      </c>
      <c r="AC29" s="100">
        <f t="shared" ca="1" si="17"/>
        <v>600</v>
      </c>
      <c r="AD29" s="100">
        <f t="shared" ca="1" si="18"/>
        <v>0</v>
      </c>
      <c r="AF29" s="106"/>
      <c r="AI29" s="117" t="str">
        <f ca="1">Calculations!L36</f>
        <v/>
      </c>
      <c r="AJ29" s="118" t="str">
        <f ca="1">Calculations!P36</f>
        <v/>
      </c>
      <c r="AK29" s="4"/>
      <c r="AM29" s="106"/>
      <c r="AP29" s="117" t="str">
        <f ca="1">Calculations!S36</f>
        <v/>
      </c>
      <c r="AQ29" s="118" t="str">
        <f ca="1">Calculations!W36</f>
        <v/>
      </c>
      <c r="AR29" s="4"/>
    </row>
    <row r="30" spans="3:44" x14ac:dyDescent="0.3">
      <c r="C30" s="91" cm="1">
        <f t="array" ref="C30">IF(C29=-1,-1,
    IF(C29&lt;Income_max_row, C29+1,
      IF(C29=Income_max_row, income_total_row,
       IF(C29=income_total_row, "/1",
                     IF(C29="/1", expenses_header_row,
                        IF(C29&lt;expenses_max_row,C29+1,
                             IF(C29=expenses_max_row, expenses_total_row,
                                          IF(C29=expenses_total_row, "/2",
                                                  IF(C29="/2", savings_header_row,
                                                               IF(C29&lt;savings_max_row, C29+1,
                                                                    IF(C29=savings_max_row,savings_total_row, -1)))))))))))</f>
        <v>36</v>
      </c>
      <c r="D30" s="92">
        <f t="shared" si="0"/>
        <v>27</v>
      </c>
      <c r="E30" s="91" cm="1">
        <f t="array" ref="E30">1*OR(row_id=Income_header_row,row_id=expenses_header_row,row_id=savings_header_row)</f>
        <v>0</v>
      </c>
      <c r="F30">
        <f t="shared" si="1"/>
        <v>1</v>
      </c>
      <c r="G30" cm="1">
        <f t="array" ref="G30">1*OR(row_id=income_total_row, row_id=expenses_total_row,row_id=savings_total_row)</f>
        <v>0</v>
      </c>
      <c r="H30" s="92">
        <f t="shared" si="2"/>
        <v>0</v>
      </c>
      <c r="I30" s="91" t="str" cm="1">
        <f t="array" ref="I30">IFERROR(INDEX('Budget planning'!$C:$C,header_row_id),"")</f>
        <v>Expenses</v>
      </c>
      <c r="J30" t="str" cm="1">
        <f t="array" ref="J30">IFERROR(INDEX('Budget planning'!$C:$C,row_id),"")</f>
        <v>Clothing</v>
      </c>
      <c r="K30" s="72" cm="1">
        <f t="array" ref="K30">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30" s="94" cm="1">
        <f t="array" ref="L30">IF(OR(is_header, _is_empty), "",
     INDEX('Budget planning'!$E:$DY, row_id,
        MATCH(IF(selected_period="Total Year", selected_year, DATE(selected_year, selected_period, 1)), 'Budget planning'!$E$10:$DY$10, 0) ))</f>
        <v>0</v>
      </c>
      <c r="M30" s="91" cm="1">
        <f t="array" ref="M30">IF(is_cat,
          IF(header_row_id=Income_header_row, MATCH(income_min_row,$C:$C, 0),
            IF(header_row_id=expenses_header_row, MATCH(expenses_min_row,$C:$C, 0),
                  IF(header_row_id=savings_header_row, MATCH(savings_min_row,$C:$C, 0), ""))), "")</f>
        <v>22</v>
      </c>
      <c r="N30" s="92" cm="1">
        <f t="array" ref="N30">IF(is_cat,
          IF(header_row_id=Income_header_row, MATCH(Income_max_row,$C:$C, 0),
            IF(header_row_id=expenses_header_row, MATCH(expenses_max_row,$C:$C, 0),
                  IF(header_row_id=savings_header_row, MATCH(savings_max_row,$C:$C, 0), ""))), "")</f>
        <v>34</v>
      </c>
      <c r="O30" s="91" t="str">
        <f t="shared" si="3"/>
        <v>$K$22:$K$34</v>
      </c>
      <c r="P30">
        <f t="shared" ca="1" si="4"/>
        <v>1</v>
      </c>
      <c r="Q30" t="str">
        <f t="shared" si="5"/>
        <v>$L$22:$L$34</v>
      </c>
      <c r="R30" s="92">
        <f t="shared" ca="1" si="6"/>
        <v>9</v>
      </c>
      <c r="S30" s="91">
        <f t="shared" ca="1" si="7"/>
        <v>19</v>
      </c>
      <c r="T30" t="str">
        <f t="shared" si="8"/>
        <v>$S$22:$S$34</v>
      </c>
      <c r="U30">
        <f t="shared" ca="1" si="9"/>
        <v>9</v>
      </c>
      <c r="V30" t="str">
        <f t="shared" si="10"/>
        <v>$U$22:$U$30</v>
      </c>
      <c r="W30" s="92">
        <f t="shared" ca="1" si="11"/>
        <v>11</v>
      </c>
      <c r="X30" s="96">
        <f t="shared" ca="1" si="12"/>
        <v>38</v>
      </c>
      <c r="Y30" s="97" t="str">
        <f t="shared" ca="1" si="13"/>
        <v>Utilities</v>
      </c>
      <c r="Z30" s="100">
        <f t="shared" ca="1" si="14"/>
        <v>0</v>
      </c>
      <c r="AA30" s="100">
        <f t="shared" ca="1" si="15"/>
        <v>0</v>
      </c>
      <c r="AB30" s="99" t="str">
        <f t="shared" ca="1" si="16"/>
        <v>-</v>
      </c>
      <c r="AC30" s="100">
        <f t="shared" ca="1" si="17"/>
        <v>0</v>
      </c>
      <c r="AD30" s="100">
        <f t="shared" ca="1" si="18"/>
        <v>0</v>
      </c>
      <c r="AF30" s="106"/>
      <c r="AI30" s="117" t="str">
        <f ca="1">Calculations!L37</f>
        <v/>
      </c>
      <c r="AJ30" s="118" t="str">
        <f ca="1">Calculations!P37</f>
        <v/>
      </c>
      <c r="AK30" s="4"/>
      <c r="AM30" s="106"/>
      <c r="AP30" s="117" t="str">
        <f ca="1">Calculations!S37</f>
        <v/>
      </c>
      <c r="AQ30" s="118" t="str">
        <f ca="1">Calculations!W37</f>
        <v/>
      </c>
      <c r="AR30" s="4"/>
    </row>
    <row r="31" spans="3:44" x14ac:dyDescent="0.3">
      <c r="C31" s="91" cm="1">
        <f t="array" ref="C31">IF(C30=-1,-1,
    IF(C30&lt;Income_max_row, C30+1,
      IF(C30=Income_max_row, income_total_row,
       IF(C30=income_total_row, "/1",
                     IF(C30="/1", expenses_header_row,
                        IF(C30&lt;expenses_max_row,C30+1,
                             IF(C30=expenses_max_row, expenses_total_row,
                                          IF(C30=expenses_total_row, "/2",
                                                  IF(C30="/2", savings_header_row,
                                                               IF(C30&lt;savings_max_row, C30+1,
                                                                    IF(C30=savings_max_row,savings_total_row, -1)))))))))))</f>
        <v>37</v>
      </c>
      <c r="D31" s="92">
        <f t="shared" si="0"/>
        <v>27</v>
      </c>
      <c r="E31" s="91" cm="1">
        <f t="array" ref="E31">1*OR(row_id=Income_header_row,row_id=expenses_header_row,row_id=savings_header_row)</f>
        <v>0</v>
      </c>
      <c r="F31">
        <f t="shared" si="1"/>
        <v>1</v>
      </c>
      <c r="G31" cm="1">
        <f t="array" ref="G31">1*OR(row_id=income_total_row, row_id=expenses_total_row,row_id=savings_total_row)</f>
        <v>0</v>
      </c>
      <c r="H31" s="92">
        <f t="shared" si="2"/>
        <v>0</v>
      </c>
      <c r="I31" s="91" t="str" cm="1">
        <f t="array" ref="I31">IFERROR(INDEX('Budget planning'!$C:$C,header_row_id),"")</f>
        <v>Expenses</v>
      </c>
      <c r="J31" t="str" cm="1">
        <f t="array" ref="J31">IFERROR(INDEX('Budget planning'!$C:$C,row_id),"")</f>
        <v>Dining out</v>
      </c>
      <c r="K31" s="72" cm="1">
        <f t="array" ref="K31">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31" s="94" cm="1">
        <f t="array" ref="L31">IF(OR(is_header, _is_empty), "",
     INDEX('Budget planning'!$E:$DY, row_id,
        MATCH(IF(selected_period="Total Year", selected_year, DATE(selected_year, selected_period, 1)), 'Budget planning'!$E$10:$DY$10, 0) ))</f>
        <v>600</v>
      </c>
      <c r="M31" s="91" cm="1">
        <f t="array" ref="M31">IF(is_cat,
          IF(header_row_id=Income_header_row, MATCH(income_min_row,$C:$C, 0),
            IF(header_row_id=expenses_header_row, MATCH(expenses_min_row,$C:$C, 0),
                  IF(header_row_id=savings_header_row, MATCH(savings_min_row,$C:$C, 0), ""))), "")</f>
        <v>22</v>
      </c>
      <c r="N31" s="92" cm="1">
        <f t="array" ref="N31">IF(is_cat,
          IF(header_row_id=Income_header_row, MATCH(Income_max_row,$C:$C, 0),
            IF(header_row_id=expenses_header_row, MATCH(expenses_max_row,$C:$C, 0),
                  IF(header_row_id=savings_header_row, MATCH(savings_max_row,$C:$C, 0), ""))), "")</f>
        <v>34</v>
      </c>
      <c r="O31" s="91" t="str">
        <f t="shared" si="3"/>
        <v>$K$22:$K$34</v>
      </c>
      <c r="P31">
        <f t="shared" ca="1" si="4"/>
        <v>1</v>
      </c>
      <c r="Q31" t="str">
        <f t="shared" si="5"/>
        <v>$L$22:$L$34</v>
      </c>
      <c r="R31" s="92">
        <f t="shared" ca="1" si="6"/>
        <v>7</v>
      </c>
      <c r="S31" s="91">
        <f t="shared" ca="1" si="7"/>
        <v>17</v>
      </c>
      <c r="T31" t="str">
        <f t="shared" si="8"/>
        <v>$S$22:$S$34</v>
      </c>
      <c r="U31">
        <f t="shared" ca="1" si="9"/>
        <v>7</v>
      </c>
      <c r="V31" t="str">
        <f t="shared" si="10"/>
        <v>$U$22:$U$31</v>
      </c>
      <c r="W31" s="92">
        <f t="shared" ca="1" si="11"/>
        <v>7</v>
      </c>
      <c r="X31" s="96">
        <f t="shared" ca="1" si="12"/>
        <v>34</v>
      </c>
      <c r="Y31" s="97" t="str">
        <f t="shared" ca="1" si="13"/>
        <v>Credit</v>
      </c>
      <c r="Z31" s="100">
        <f t="shared" ca="1" si="14"/>
        <v>0</v>
      </c>
      <c r="AA31" s="100">
        <f t="shared" ca="1" si="15"/>
        <v>0</v>
      </c>
      <c r="AB31" s="99" t="str">
        <f t="shared" ca="1" si="16"/>
        <v>-</v>
      </c>
      <c r="AC31" s="100">
        <f t="shared" ca="1" si="17"/>
        <v>0</v>
      </c>
      <c r="AD31" s="100">
        <f t="shared" ca="1" si="18"/>
        <v>0</v>
      </c>
      <c r="AF31" s="106"/>
      <c r="AI31" s="117" t="str">
        <f ca="1">Calculations!L38</f>
        <v/>
      </c>
      <c r="AJ31" s="118" t="str">
        <f ca="1">Calculations!P38</f>
        <v/>
      </c>
      <c r="AK31" s="4"/>
      <c r="AM31" s="106"/>
      <c r="AP31" s="117" t="str">
        <f ca="1">Calculations!S38</f>
        <v/>
      </c>
      <c r="AQ31" s="118" t="str">
        <f ca="1">Calculations!W38</f>
        <v/>
      </c>
      <c r="AR31" s="4"/>
    </row>
    <row r="32" spans="3:44" x14ac:dyDescent="0.3">
      <c r="C32" s="91" cm="1">
        <f t="array" ref="C32">IF(C31=-1,-1,
    IF(C31&lt;Income_max_row, C31+1,
      IF(C31=Income_max_row, income_total_row,
       IF(C31=income_total_row, "/1",
                     IF(C31="/1", expenses_header_row,
                        IF(C31&lt;expenses_max_row,C31+1,
                             IF(C31=expenses_max_row, expenses_total_row,
                                          IF(C31=expenses_total_row, "/2",
                                                  IF(C31="/2", savings_header_row,
                                                               IF(C31&lt;savings_max_row, C31+1,
                                                                    IF(C31=savings_max_row,savings_total_row, -1)))))))))))</f>
        <v>38</v>
      </c>
      <c r="D32" s="92">
        <f t="shared" si="0"/>
        <v>27</v>
      </c>
      <c r="E32" s="91" cm="1">
        <f t="array" ref="E32">1*OR(row_id=Income_header_row,row_id=expenses_header_row,row_id=savings_header_row)</f>
        <v>0</v>
      </c>
      <c r="F32">
        <f t="shared" si="1"/>
        <v>1</v>
      </c>
      <c r="G32" cm="1">
        <f t="array" ref="G32">1*OR(row_id=income_total_row, row_id=expenses_total_row,row_id=savings_total_row)</f>
        <v>0</v>
      </c>
      <c r="H32" s="92">
        <f t="shared" si="2"/>
        <v>0</v>
      </c>
      <c r="I32" s="91" t="str" cm="1">
        <f t="array" ref="I32">IFERROR(INDEX('Budget planning'!$C:$C,header_row_id),"")</f>
        <v>Expenses</v>
      </c>
      <c r="J32" t="str" cm="1">
        <f t="array" ref="J32">IFERROR(INDEX('Budget planning'!$C:$C,row_id),"")</f>
        <v>Outing</v>
      </c>
      <c r="K32" s="72" cm="1">
        <f t="array" ref="K32">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32" s="94" cm="1">
        <f t="array" ref="L32">IF(OR(is_header, _is_empty), "",
     INDEX('Budget planning'!$E:$DY, row_id,
        MATCH(IF(selected_period="Total Year", selected_year, DATE(selected_year, selected_period, 1)), 'Budget planning'!$E$10:$DY$10, 0) ))</f>
        <v>600</v>
      </c>
      <c r="M32" s="91" cm="1">
        <f t="array" ref="M32">IF(is_cat,
          IF(header_row_id=Income_header_row, MATCH(income_min_row,$C:$C, 0),
            IF(header_row_id=expenses_header_row, MATCH(expenses_min_row,$C:$C, 0),
                  IF(header_row_id=savings_header_row, MATCH(savings_min_row,$C:$C, 0), ""))), "")</f>
        <v>22</v>
      </c>
      <c r="N32" s="92" cm="1">
        <f t="array" ref="N32">IF(is_cat,
          IF(header_row_id=Income_header_row, MATCH(Income_max_row,$C:$C, 0),
            IF(header_row_id=expenses_header_row, MATCH(expenses_max_row,$C:$C, 0),
                  IF(header_row_id=savings_header_row, MATCH(savings_max_row,$C:$C, 0), ""))), "")</f>
        <v>34</v>
      </c>
      <c r="O32" s="91" t="str">
        <f t="shared" si="3"/>
        <v>$K$22:$K$34</v>
      </c>
      <c r="P32">
        <f t="shared" ca="1" si="4"/>
        <v>1</v>
      </c>
      <c r="Q32" t="str">
        <f t="shared" si="5"/>
        <v>$L$22:$L$34</v>
      </c>
      <c r="R32" s="92">
        <f t="shared" ca="1" si="6"/>
        <v>7</v>
      </c>
      <c r="S32" s="91">
        <f t="shared" ca="1" si="7"/>
        <v>17</v>
      </c>
      <c r="T32" t="str">
        <f t="shared" si="8"/>
        <v>$S$22:$S$34</v>
      </c>
      <c r="U32">
        <f t="shared" ca="1" si="9"/>
        <v>7</v>
      </c>
      <c r="V32" t="str">
        <f t="shared" si="10"/>
        <v>$U$22:$U$32</v>
      </c>
      <c r="W32" s="92">
        <f t="shared" ca="1" si="11"/>
        <v>8</v>
      </c>
      <c r="X32" s="96">
        <f t="shared" ca="1" si="12"/>
        <v>35</v>
      </c>
      <c r="Y32" s="97" t="str">
        <f t="shared" ca="1" si="13"/>
        <v>Clothing</v>
      </c>
      <c r="Z32" s="100">
        <f t="shared" ca="1" si="14"/>
        <v>0</v>
      </c>
      <c r="AA32" s="100">
        <f t="shared" ca="1" si="15"/>
        <v>0</v>
      </c>
      <c r="AB32" s="99" t="str">
        <f t="shared" ca="1" si="16"/>
        <v>-</v>
      </c>
      <c r="AC32" s="100">
        <f t="shared" ca="1" si="17"/>
        <v>0</v>
      </c>
      <c r="AD32" s="100">
        <f t="shared" ca="1" si="18"/>
        <v>0</v>
      </c>
      <c r="AF32" s="106"/>
      <c r="AI32" s="117" t="str">
        <f ca="1">Calculations!L39</f>
        <v/>
      </c>
      <c r="AJ32" s="118" t="str">
        <f ca="1">Calculations!P39</f>
        <v/>
      </c>
      <c r="AK32" s="4"/>
      <c r="AM32" s="106"/>
      <c r="AP32" s="117" t="str">
        <f ca="1">Calculations!S39</f>
        <v/>
      </c>
      <c r="AQ32" s="118" t="str">
        <f ca="1">Calculations!W39</f>
        <v/>
      </c>
      <c r="AR32" s="4"/>
    </row>
    <row r="33" spans="3:44" x14ac:dyDescent="0.3">
      <c r="C33" s="91" cm="1">
        <f t="array" ref="C33">IF(C32=-1,-1,
    IF(C32&lt;Income_max_row, C32+1,
      IF(C32=Income_max_row, income_total_row,
       IF(C32=income_total_row, "/1",
                     IF(C32="/1", expenses_header_row,
                        IF(C32&lt;expenses_max_row,C32+1,
                             IF(C32=expenses_max_row, expenses_total_row,
                                          IF(C32=expenses_total_row, "/2",
                                                  IF(C32="/2", savings_header_row,
                                                               IF(C32&lt;savings_max_row, C32+1,
                                                                    IF(C32=savings_max_row,savings_total_row, -1)))))))))))</f>
        <v>39</v>
      </c>
      <c r="D33" s="92">
        <f t="shared" si="0"/>
        <v>27</v>
      </c>
      <c r="E33" s="91" cm="1">
        <f t="array" ref="E33">1*OR(row_id=Income_header_row,row_id=expenses_header_row,row_id=savings_header_row)</f>
        <v>0</v>
      </c>
      <c r="F33">
        <f t="shared" si="1"/>
        <v>1</v>
      </c>
      <c r="G33" cm="1">
        <f t="array" ref="G33">1*OR(row_id=income_total_row, row_id=expenses_total_row,row_id=savings_total_row)</f>
        <v>0</v>
      </c>
      <c r="H33" s="92">
        <f t="shared" si="2"/>
        <v>0</v>
      </c>
      <c r="I33" s="91" t="str" cm="1">
        <f t="array" ref="I33">IFERROR(INDEX('Budget planning'!$C:$C,header_row_id),"")</f>
        <v>Expenses</v>
      </c>
      <c r="J33" t="str" cm="1">
        <f t="array" ref="J33">IFERROR(INDEX('Budget planning'!$C:$C,row_id),"")</f>
        <v>Subscriptions</v>
      </c>
      <c r="K33" s="72" cm="1">
        <f t="array" ref="K33">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33" s="94" cm="1">
        <f t="array" ref="L33">IF(OR(is_header, _is_empty), "",
     INDEX('Budget planning'!$E:$DY, row_id,
        MATCH(IF(selected_period="Total Year", selected_year, DATE(selected_year, selected_period, 1)), 'Budget planning'!$E$10:$DY$10, 0) ))</f>
        <v>0</v>
      </c>
      <c r="M33" s="91" cm="1">
        <f t="array" ref="M33">IF(is_cat,
          IF(header_row_id=Income_header_row, MATCH(income_min_row,$C:$C, 0),
            IF(header_row_id=expenses_header_row, MATCH(expenses_min_row,$C:$C, 0),
                  IF(header_row_id=savings_header_row, MATCH(savings_min_row,$C:$C, 0), ""))), "")</f>
        <v>22</v>
      </c>
      <c r="N33" s="92" cm="1">
        <f t="array" ref="N33">IF(is_cat,
          IF(header_row_id=Income_header_row, MATCH(Income_max_row,$C:$C, 0),
            IF(header_row_id=expenses_header_row, MATCH(expenses_max_row,$C:$C, 0),
                  IF(header_row_id=savings_header_row, MATCH(savings_max_row,$C:$C, 0), ""))), "")</f>
        <v>34</v>
      </c>
      <c r="O33" s="91" t="str">
        <f t="shared" si="3"/>
        <v>$K$22:$K$34</v>
      </c>
      <c r="P33">
        <f t="shared" ca="1" si="4"/>
        <v>1</v>
      </c>
      <c r="Q33" t="str">
        <f t="shared" si="5"/>
        <v>$L$22:$L$34</v>
      </c>
      <c r="R33" s="92">
        <f t="shared" ca="1" si="6"/>
        <v>9</v>
      </c>
      <c r="S33" s="91">
        <f t="shared" ca="1" si="7"/>
        <v>19</v>
      </c>
      <c r="T33" t="str">
        <f t="shared" si="8"/>
        <v>$S$22:$S$34</v>
      </c>
      <c r="U33">
        <f t="shared" ca="1" si="9"/>
        <v>9</v>
      </c>
      <c r="V33" t="str">
        <f t="shared" si="10"/>
        <v>$U$22:$U$33</v>
      </c>
      <c r="W33" s="92">
        <f t="shared" ca="1" si="11"/>
        <v>12</v>
      </c>
      <c r="X33" s="96">
        <f t="shared" ca="1" si="12"/>
        <v>39</v>
      </c>
      <c r="Y33" s="97" t="str">
        <f t="shared" ca="1" si="13"/>
        <v>Subscriptions</v>
      </c>
      <c r="Z33" s="100">
        <f t="shared" ca="1" si="14"/>
        <v>0</v>
      </c>
      <c r="AA33" s="100">
        <f t="shared" ca="1" si="15"/>
        <v>0</v>
      </c>
      <c r="AB33" s="99" t="str">
        <f t="shared" ca="1" si="16"/>
        <v>-</v>
      </c>
      <c r="AC33" s="100">
        <f t="shared" ca="1" si="17"/>
        <v>0</v>
      </c>
      <c r="AD33" s="100">
        <f t="shared" ca="1" si="18"/>
        <v>0</v>
      </c>
      <c r="AF33" s="106"/>
      <c r="AI33" s="117" t="str">
        <f ca="1">Calculations!L40</f>
        <v/>
      </c>
      <c r="AJ33" s="118" t="str">
        <f ca="1">Calculations!P40</f>
        <v/>
      </c>
      <c r="AK33" s="4"/>
      <c r="AM33" s="106"/>
      <c r="AP33" s="117" t="str">
        <f ca="1">Calculations!S40</f>
        <v/>
      </c>
      <c r="AQ33" s="118" t="str">
        <f ca="1">Calculations!W40</f>
        <v/>
      </c>
      <c r="AR33" s="4"/>
    </row>
    <row r="34" spans="3:44" x14ac:dyDescent="0.3">
      <c r="C34" s="91" cm="1">
        <f t="array" ref="C34">IF(C33=-1,-1,
    IF(C33&lt;Income_max_row, C33+1,
      IF(C33=Income_max_row, income_total_row,
       IF(C33=income_total_row, "/1",
                     IF(C33="/1", expenses_header_row,
                        IF(C33&lt;expenses_max_row,C33+1,
                             IF(C33=expenses_max_row, expenses_total_row,
                                          IF(C33=expenses_total_row, "/2",
                                                  IF(C33="/2", savings_header_row,
                                                               IF(C33&lt;savings_max_row, C33+1,
                                                                    IF(C33=savings_max_row,savings_total_row, -1)))))))))))</f>
        <v>40</v>
      </c>
      <c r="D34" s="92">
        <f t="shared" si="0"/>
        <v>27</v>
      </c>
      <c r="E34" s="91" cm="1">
        <f t="array" ref="E34">1*OR(row_id=Income_header_row,row_id=expenses_header_row,row_id=savings_header_row)</f>
        <v>0</v>
      </c>
      <c r="F34">
        <f t="shared" si="1"/>
        <v>1</v>
      </c>
      <c r="G34" cm="1">
        <f t="array" ref="G34">1*OR(row_id=income_total_row, row_id=expenses_total_row,row_id=savings_total_row)</f>
        <v>0</v>
      </c>
      <c r="H34" s="92">
        <f t="shared" si="2"/>
        <v>0</v>
      </c>
      <c r="I34" s="91" t="str" cm="1">
        <f t="array" ref="I34">IFERROR(INDEX('Budget planning'!$C:$C,header_row_id),"")</f>
        <v>Expenses</v>
      </c>
      <c r="J34" t="str" cm="1">
        <f t="array" ref="J34">IFERROR(INDEX('Budget planning'!$C:$C,row_id),"")</f>
        <v>Other Expenses</v>
      </c>
      <c r="K34" s="72" cm="1">
        <f t="array" ref="K34">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34" s="94" cm="1">
        <f t="array" ref="L34">IF(OR(is_header, _is_empty), "",
     INDEX('Budget planning'!$E:$DY, row_id,
        MATCH(IF(selected_period="Total Year", selected_year, DATE(selected_year, selected_period, 1)), 'Budget planning'!$E$10:$DY$10, 0) ))</f>
        <v>0</v>
      </c>
      <c r="M34" s="91" cm="1">
        <f t="array" ref="M34">IF(is_cat,
          IF(header_row_id=Income_header_row, MATCH(income_min_row,$C:$C, 0),
            IF(header_row_id=expenses_header_row, MATCH(expenses_min_row,$C:$C, 0),
                  IF(header_row_id=savings_header_row, MATCH(savings_min_row,$C:$C, 0), ""))), "")</f>
        <v>22</v>
      </c>
      <c r="N34" s="92" cm="1">
        <f t="array" ref="N34">IF(is_cat,
          IF(header_row_id=Income_header_row, MATCH(Income_max_row,$C:$C, 0),
            IF(header_row_id=expenses_header_row, MATCH(expenses_max_row,$C:$C, 0),
                  IF(header_row_id=savings_header_row, MATCH(savings_max_row,$C:$C, 0), ""))), "")</f>
        <v>34</v>
      </c>
      <c r="O34" s="91" t="str">
        <f t="shared" si="3"/>
        <v>$K$22:$K$34</v>
      </c>
      <c r="P34">
        <f t="shared" ca="1" si="4"/>
        <v>1</v>
      </c>
      <c r="Q34" t="str">
        <f t="shared" si="5"/>
        <v>$L$22:$L$34</v>
      </c>
      <c r="R34" s="92">
        <f t="shared" ca="1" si="6"/>
        <v>9</v>
      </c>
      <c r="S34" s="91">
        <f t="shared" ca="1" si="7"/>
        <v>19</v>
      </c>
      <c r="T34" t="str">
        <f t="shared" si="8"/>
        <v>$S$22:$S$34</v>
      </c>
      <c r="U34">
        <f t="shared" ca="1" si="9"/>
        <v>9</v>
      </c>
      <c r="V34" t="str">
        <f t="shared" si="10"/>
        <v>$U$22:$U$34</v>
      </c>
      <c r="W34" s="92">
        <f t="shared" ca="1" si="11"/>
        <v>13</v>
      </c>
      <c r="X34" s="96">
        <f t="shared" ca="1" si="12"/>
        <v>40</v>
      </c>
      <c r="Y34" s="97" t="str">
        <f t="shared" ca="1" si="13"/>
        <v>Other Expenses</v>
      </c>
      <c r="Z34" s="100">
        <f t="shared" ca="1" si="14"/>
        <v>0</v>
      </c>
      <c r="AA34" s="100">
        <f t="shared" ca="1" si="15"/>
        <v>0</v>
      </c>
      <c r="AB34" s="99" t="str">
        <f t="shared" ca="1" si="16"/>
        <v>-</v>
      </c>
      <c r="AC34" s="100">
        <f t="shared" ca="1" si="17"/>
        <v>0</v>
      </c>
      <c r="AD34" s="100">
        <f t="shared" ca="1" si="18"/>
        <v>0</v>
      </c>
      <c r="AF34" s="106"/>
      <c r="AI34" s="117" t="str">
        <f ca="1">Calculations!L41</f>
        <v/>
      </c>
      <c r="AJ34" s="118" t="str">
        <f ca="1">Calculations!P41</f>
        <v/>
      </c>
      <c r="AK34" s="4"/>
      <c r="AM34" s="106"/>
      <c r="AP34" s="117" t="str">
        <f ca="1">Calculations!S41</f>
        <v/>
      </c>
      <c r="AQ34" s="118" t="str">
        <f ca="1">Calculations!W41</f>
        <v/>
      </c>
      <c r="AR34" s="4"/>
    </row>
    <row r="35" spans="3:44" x14ac:dyDescent="0.3">
      <c r="C35" s="91" cm="1">
        <f t="array" ref="C35">IF(C34=-1,-1,
    IF(C34&lt;Income_max_row, C34+1,
      IF(C34=Income_max_row, income_total_row,
       IF(C34=income_total_row, "/1",
                     IF(C34="/1", expenses_header_row,
                        IF(C34&lt;expenses_max_row,C34+1,
                             IF(C34=expenses_max_row, expenses_total_row,
                                          IF(C34=expenses_total_row, "/2",
                                                  IF(C34="/2", savings_header_row,
                                                               IF(C34&lt;savings_max_row, C34+1,
                                                                    IF(C34=savings_max_row,savings_total_row, -1)))))))))))</f>
        <v>41</v>
      </c>
      <c r="D35" s="92">
        <f t="shared" si="0"/>
        <v>27</v>
      </c>
      <c r="E35" s="91" cm="1">
        <f t="array" ref="E35">1*OR(row_id=Income_header_row,row_id=expenses_header_row,row_id=savings_header_row)</f>
        <v>0</v>
      </c>
      <c r="F35">
        <f t="shared" si="1"/>
        <v>0</v>
      </c>
      <c r="G35" cm="1">
        <f t="array" ref="G35">1*OR(row_id=income_total_row, row_id=expenses_total_row,row_id=savings_total_row)</f>
        <v>1</v>
      </c>
      <c r="H35" s="92">
        <f t="shared" si="2"/>
        <v>0</v>
      </c>
      <c r="I35" s="91" t="str" cm="1">
        <f t="array" ref="I35">IFERROR(INDEX('Budget planning'!$C:$C,header_row_id),"")</f>
        <v>Expenses</v>
      </c>
      <c r="J35" t="str" cm="1">
        <f t="array" ref="J35">IFERROR(INDEX('Budget planning'!$C:$C,row_id),"")</f>
        <v>Total</v>
      </c>
      <c r="K35" s="72" cm="1">
        <f t="array" ref="K35">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35" s="94" cm="1">
        <f t="array" aca="1" ref="L35" ca="1">IF(OR(is_header, _is_empty), "",
     INDEX('Budget planning'!$E:$DY, row_id,
        MATCH(IF(selected_period="Total Year", selected_year, DATE(selected_year, selected_period, 1)), 'Budget planning'!$E$10:$DY$10, 0) ))</f>
        <v>22220</v>
      </c>
      <c r="M35" s="91" t="str" cm="1">
        <f t="array" ref="M35">IF(is_cat,
          IF(header_row_id=Income_header_row, MATCH(income_min_row,$C:$C, 0),
            IF(header_row_id=expenses_header_row, MATCH(expenses_min_row,$C:$C, 0),
                  IF(header_row_id=savings_header_row, MATCH(savings_min_row,$C:$C, 0), ""))), "")</f>
        <v/>
      </c>
      <c r="N35" s="92" t="str" cm="1">
        <f t="array" ref="N35">IF(is_cat,
          IF(header_row_id=Income_header_row, MATCH(Income_max_row,$C:$C, 0),
            IF(header_row_id=expenses_header_row, MATCH(expenses_max_row,$C:$C, 0),
                  IF(header_row_id=savings_header_row, MATCH(savings_max_row,$C:$C, 0), ""))), "")</f>
        <v/>
      </c>
      <c r="O35" s="91" t="str">
        <f t="shared" si="3"/>
        <v/>
      </c>
      <c r="P35" t="str">
        <f t="shared" ca="1" si="4"/>
        <v/>
      </c>
      <c r="Q35" t="str">
        <f t="shared" si="5"/>
        <v/>
      </c>
      <c r="R35" s="92" t="str">
        <f t="shared" ca="1" si="6"/>
        <v/>
      </c>
      <c r="S35" s="91" t="str">
        <f t="shared" si="7"/>
        <v/>
      </c>
      <c r="T35" t="str">
        <f t="shared" si="8"/>
        <v/>
      </c>
      <c r="U35" t="str">
        <f t="shared" ca="1" si="9"/>
        <v/>
      </c>
      <c r="V35" t="str">
        <f t="shared" si="10"/>
        <v/>
      </c>
      <c r="W35" s="92" t="str">
        <f t="shared" ca="1" si="11"/>
        <v/>
      </c>
      <c r="X35" s="96">
        <f t="shared" si="12"/>
        <v>41</v>
      </c>
      <c r="Y35" s="97" t="str">
        <f t="shared" ca="1" si="13"/>
        <v>Total</v>
      </c>
      <c r="Z35" s="100">
        <f t="shared" ca="1" si="14"/>
        <v>0</v>
      </c>
      <c r="AA35" s="100">
        <f t="shared" ca="1" si="15"/>
        <v>22220</v>
      </c>
      <c r="AB35" s="99">
        <f t="shared" ca="1" si="16"/>
        <v>0</v>
      </c>
      <c r="AC35" s="100">
        <f t="shared" ca="1" si="17"/>
        <v>22220</v>
      </c>
      <c r="AD35" s="100">
        <f t="shared" ca="1" si="18"/>
        <v>0</v>
      </c>
      <c r="AF35" s="106"/>
      <c r="AI35" s="119" t="str">
        <f>Calculations!L42</f>
        <v>Total</v>
      </c>
      <c r="AJ35" s="120">
        <f ca="1">Calculations!P42</f>
        <v>0</v>
      </c>
      <c r="AK35" s="4"/>
      <c r="AM35" s="106"/>
      <c r="AP35" s="119" t="str">
        <f>Calculations!S42</f>
        <v>Total</v>
      </c>
      <c r="AQ35" s="120">
        <f ca="1">Calculations!W42</f>
        <v>0</v>
      </c>
      <c r="AR35" s="4"/>
    </row>
    <row r="36" spans="3:44" x14ac:dyDescent="0.3">
      <c r="C36" s="91" t="str" cm="1">
        <f t="array" ref="C36">IF(C35=-1,-1,
    IF(C35&lt;Income_max_row, C35+1,
      IF(C35=Income_max_row, income_total_row,
       IF(C35=income_total_row, "/1",
                     IF(C35="/1", expenses_header_row,
                        IF(C35&lt;expenses_max_row,C35+1,
                             IF(C35=expenses_max_row, expenses_total_row,
                                          IF(C35=expenses_total_row, "/2",
                                                  IF(C35="/2", savings_header_row,
                                                               IF(C35&lt;savings_max_row, C35+1,
                                                                    IF(C35=savings_max_row,savings_total_row, -1)))))))))))</f>
        <v>/2</v>
      </c>
      <c r="D36" s="92">
        <f t="shared" si="0"/>
        <v>-1</v>
      </c>
      <c r="E36" s="91" cm="1">
        <f t="array" ref="E36">1*OR(row_id=Income_header_row,row_id=expenses_header_row,row_id=savings_header_row)</f>
        <v>0</v>
      </c>
      <c r="F36">
        <f t="shared" si="1"/>
        <v>0</v>
      </c>
      <c r="G36" cm="1">
        <f t="array" ref="G36">1*OR(row_id=income_total_row, row_id=expenses_total_row,row_id=savings_total_row)</f>
        <v>0</v>
      </c>
      <c r="H36" s="92">
        <f t="shared" si="2"/>
        <v>1</v>
      </c>
      <c r="I36" s="91" t="str" cm="1">
        <f t="array" ref="I36">IFERROR(INDEX('Budget planning'!$C:$C,header_row_id),"")</f>
        <v/>
      </c>
      <c r="J36" t="str" cm="1">
        <f t="array" ref="J36">IFERROR(INDEX('Budget planning'!$C:$C,row_id),"")</f>
        <v/>
      </c>
      <c r="K36" s="72" t="str" cm="1">
        <f t="array" ref="K36">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36" s="94" t="str" cm="1">
        <f t="array" ref="L36">IF(OR(is_header, _is_empty), "",
     INDEX('Budget planning'!$E:$DY, row_id,
        MATCH(IF(selected_period="Total Year", selected_year, DATE(selected_year, selected_period, 1)), 'Budget planning'!$E$10:$DY$10, 0) ))</f>
        <v/>
      </c>
      <c r="M36" s="91" t="str" cm="1">
        <f t="array" ref="M36">IF(is_cat,
          IF(header_row_id=Income_header_row, MATCH(income_min_row,$C:$C, 0),
            IF(header_row_id=expenses_header_row, MATCH(expenses_min_row,$C:$C, 0),
                  IF(header_row_id=savings_header_row, MATCH(savings_min_row,$C:$C, 0), ""))), "")</f>
        <v/>
      </c>
      <c r="N36" s="92" t="str" cm="1">
        <f t="array" ref="N36">IF(is_cat,
          IF(header_row_id=Income_header_row, MATCH(Income_max_row,$C:$C, 0),
            IF(header_row_id=expenses_header_row, MATCH(expenses_max_row,$C:$C, 0),
                  IF(header_row_id=savings_header_row, MATCH(savings_max_row,$C:$C, 0), ""))), "")</f>
        <v/>
      </c>
      <c r="O36" s="91" t="str">
        <f t="shared" si="3"/>
        <v/>
      </c>
      <c r="P36" t="str">
        <f t="shared" ca="1" si="4"/>
        <v/>
      </c>
      <c r="Q36" t="str">
        <f t="shared" si="5"/>
        <v/>
      </c>
      <c r="R36" s="92" t="str">
        <f t="shared" ca="1" si="6"/>
        <v/>
      </c>
      <c r="S36" s="91" t="str">
        <f t="shared" si="7"/>
        <v/>
      </c>
      <c r="T36" t="str">
        <f t="shared" si="8"/>
        <v/>
      </c>
      <c r="U36" t="str">
        <f t="shared" ca="1" si="9"/>
        <v/>
      </c>
      <c r="V36" t="str">
        <f t="shared" si="10"/>
        <v/>
      </c>
      <c r="W36" s="92" t="str">
        <f t="shared" ca="1" si="11"/>
        <v/>
      </c>
      <c r="X36" s="96" t="str">
        <f t="shared" si="12"/>
        <v>/2</v>
      </c>
      <c r="Y36" s="97" t="str">
        <f t="shared" si="13"/>
        <v/>
      </c>
      <c r="Z36" s="100" t="str">
        <f t="shared" si="14"/>
        <v/>
      </c>
      <c r="AA36" s="100" t="str">
        <f t="shared" si="15"/>
        <v/>
      </c>
      <c r="AB36" s="99" t="str">
        <f t="shared" si="16"/>
        <v/>
      </c>
      <c r="AC36" s="100" t="str">
        <f t="shared" si="17"/>
        <v/>
      </c>
      <c r="AD36" s="100" t="str">
        <f t="shared" si="18"/>
        <v/>
      </c>
      <c r="AF36" s="106"/>
      <c r="AK36" s="4"/>
      <c r="AM36" s="106"/>
      <c r="AR36" s="4"/>
    </row>
    <row r="37" spans="3:44" x14ac:dyDescent="0.3">
      <c r="C37" s="91" cm="1">
        <f t="array" ref="C37">IF(C36=-1,-1,
    IF(C36&lt;Income_max_row, C36+1,
      IF(C36=Income_max_row, income_total_row,
       IF(C36=income_total_row, "/1",
                     IF(C36="/1", expenses_header_row,
                        IF(C36&lt;expenses_max_row,C36+1,
                             IF(C36=expenses_max_row, expenses_total_row,
                                          IF(C36=expenses_total_row, "/2",
                                                  IF(C36="/2", savings_header_row,
                                                               IF(C36&lt;savings_max_row, C36+1,
                                                                    IF(C36=savings_max_row,savings_total_row, -1)))))))))))</f>
        <v>45</v>
      </c>
      <c r="D37" s="92">
        <f t="shared" si="0"/>
        <v>45</v>
      </c>
      <c r="E37" s="91" cm="1">
        <f t="array" ref="E37">1*OR(row_id=Income_header_row,row_id=expenses_header_row,row_id=savings_header_row)</f>
        <v>1</v>
      </c>
      <c r="F37">
        <f t="shared" si="1"/>
        <v>0</v>
      </c>
      <c r="G37" cm="1">
        <f t="array" ref="G37">1*OR(row_id=income_total_row, row_id=expenses_total_row,row_id=savings_total_row)</f>
        <v>0</v>
      </c>
      <c r="H37" s="92">
        <f t="shared" si="2"/>
        <v>0</v>
      </c>
      <c r="I37" s="91" t="str" cm="1">
        <f t="array" ref="I37">IFERROR(INDEX('Budget planning'!$C:$C,header_row_id),"")</f>
        <v>Savings</v>
      </c>
      <c r="J37" t="str" cm="1">
        <f t="array" ref="J37">IFERROR(INDEX('Budget planning'!$C:$C,row_id),"")</f>
        <v>Savings</v>
      </c>
      <c r="K37" s="72" t="str" cm="1">
        <f t="array" ref="K37">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37" s="94" t="str" cm="1">
        <f t="array" ref="L37">IF(OR(is_header, _is_empty), "",
     INDEX('Budget planning'!$E:$DY, row_id,
        MATCH(IF(selected_period="Total Year", selected_year, DATE(selected_year, selected_period, 1)), 'Budget planning'!$E$10:$DY$10, 0) ))</f>
        <v/>
      </c>
      <c r="M37" s="91" t="str" cm="1">
        <f t="array" ref="M37">IF(is_cat,
          IF(header_row_id=Income_header_row, MATCH(income_min_row,$C:$C, 0),
            IF(header_row_id=expenses_header_row, MATCH(expenses_min_row,$C:$C, 0),
                  IF(header_row_id=savings_header_row, MATCH(savings_min_row,$C:$C, 0), ""))), "")</f>
        <v/>
      </c>
      <c r="N37" s="92" t="str" cm="1">
        <f t="array" ref="N37">IF(is_cat,
          IF(header_row_id=Income_header_row, MATCH(Income_max_row,$C:$C, 0),
            IF(header_row_id=expenses_header_row, MATCH(expenses_max_row,$C:$C, 0),
                  IF(header_row_id=savings_header_row, MATCH(savings_max_row,$C:$C, 0), ""))), "")</f>
        <v/>
      </c>
      <c r="O37" s="91" t="str">
        <f t="shared" si="3"/>
        <v/>
      </c>
      <c r="P37" t="str">
        <f t="shared" ca="1" si="4"/>
        <v/>
      </c>
      <c r="Q37" t="str">
        <f t="shared" si="5"/>
        <v/>
      </c>
      <c r="R37" s="92" t="str">
        <f t="shared" ca="1" si="6"/>
        <v/>
      </c>
      <c r="S37" s="91" t="str">
        <f t="shared" si="7"/>
        <v/>
      </c>
      <c r="T37" t="str">
        <f t="shared" si="8"/>
        <v/>
      </c>
      <c r="U37" t="str">
        <f t="shared" ca="1" si="9"/>
        <v/>
      </c>
      <c r="V37" t="str">
        <f t="shared" si="10"/>
        <v/>
      </c>
      <c r="W37" s="92" t="str">
        <f t="shared" ca="1" si="11"/>
        <v/>
      </c>
      <c r="X37" s="96">
        <f t="shared" si="12"/>
        <v>45</v>
      </c>
      <c r="Y37" s="97" t="str">
        <f t="shared" ca="1" si="13"/>
        <v>Savings</v>
      </c>
      <c r="Z37" s="100" t="str">
        <f t="shared" si="14"/>
        <v>Tracked</v>
      </c>
      <c r="AA37" s="100" t="str">
        <f t="shared" si="15"/>
        <v>Budget</v>
      </c>
      <c r="AB37" s="99" t="str">
        <f t="shared" si="16"/>
        <v>% Compl.</v>
      </c>
      <c r="AC37" s="100" t="str">
        <f t="shared" si="17"/>
        <v>Remaining</v>
      </c>
      <c r="AD37" s="100" t="str">
        <f t="shared" si="18"/>
        <v>Excess</v>
      </c>
      <c r="AF37" s="107"/>
      <c r="AG37" s="101"/>
      <c r="AH37" s="101"/>
      <c r="AI37" s="101"/>
      <c r="AJ37" s="101"/>
      <c r="AK37" s="102"/>
      <c r="AM37" s="107"/>
      <c r="AN37" s="101"/>
      <c r="AO37" s="101"/>
      <c r="AP37" s="101"/>
      <c r="AQ37" s="101"/>
      <c r="AR37" s="102"/>
    </row>
    <row r="38" spans="3:44" x14ac:dyDescent="0.3">
      <c r="C38" s="91" cm="1">
        <f t="array" ref="C38">IF(C37=-1,-1,
    IF(C37&lt;Income_max_row, C37+1,
      IF(C37=Income_max_row, income_total_row,
       IF(C37=income_total_row, "/1",
                     IF(C37="/1", expenses_header_row,
                        IF(C37&lt;expenses_max_row,C37+1,
                             IF(C37=expenses_max_row, expenses_total_row,
                                          IF(C37=expenses_total_row, "/2",
                                                  IF(C37="/2", savings_header_row,
                                                               IF(C37&lt;savings_max_row, C37+1,
                                                                    IF(C37=savings_max_row,savings_total_row, -1)))))))))))</f>
        <v>46</v>
      </c>
      <c r="D38" s="92">
        <f t="shared" si="0"/>
        <v>45</v>
      </c>
      <c r="E38" s="91" cm="1">
        <f t="array" ref="E38">1*OR(row_id=Income_header_row,row_id=expenses_header_row,row_id=savings_header_row)</f>
        <v>0</v>
      </c>
      <c r="F38">
        <f t="shared" si="1"/>
        <v>1</v>
      </c>
      <c r="G38" cm="1">
        <f t="array" ref="G38">1*OR(row_id=income_total_row, row_id=expenses_total_row,row_id=savings_total_row)</f>
        <v>0</v>
      </c>
      <c r="H38" s="92">
        <f t="shared" si="2"/>
        <v>0</v>
      </c>
      <c r="I38" s="91" t="str" cm="1">
        <f t="array" ref="I38">IFERROR(INDEX('Budget planning'!$C:$C,header_row_id),"")</f>
        <v>Savings</v>
      </c>
      <c r="J38" t="str" cm="1">
        <f t="array" ref="J38">IFERROR(INDEX('Budget planning'!$C:$C,row_id),"")</f>
        <v>Savings Account</v>
      </c>
      <c r="K38" s="72" cm="1">
        <f t="array" ref="K38">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38" s="94" cm="1">
        <f t="array" ref="L38">IF(OR(is_header, _is_empty), "",
     INDEX('Budget planning'!$E:$DY, row_id,
        MATCH(IF(selected_period="Total Year", selected_year, DATE(selected_year, selected_period, 1)), 'Budget planning'!$E$10:$DY$10, 0) ))</f>
        <v>9100</v>
      </c>
      <c r="M38" s="91" cm="1">
        <f t="array" ref="M38">IF(is_cat,
          IF(header_row_id=Income_header_row, MATCH(income_min_row,$C:$C, 0),
            IF(header_row_id=expenses_header_row, MATCH(expenses_min_row,$C:$C, 0),
                  IF(header_row_id=savings_header_row, MATCH(savings_min_row,$C:$C, 0), ""))), "")</f>
        <v>38</v>
      </c>
      <c r="N38" s="92" cm="1">
        <f t="array" ref="N38">IF(is_cat,
          IF(header_row_id=Income_header_row, MATCH(Income_max_row,$C:$C, 0),
            IF(header_row_id=expenses_header_row, MATCH(expenses_max_row,$C:$C, 0),
                  IF(header_row_id=savings_header_row, MATCH(savings_max_row,$C:$C, 0), ""))), "")</f>
        <v>42</v>
      </c>
      <c r="O38" s="91" t="str">
        <f t="shared" si="3"/>
        <v>$K$38:$K$42</v>
      </c>
      <c r="P38">
        <f t="shared" ca="1" si="4"/>
        <v>1</v>
      </c>
      <c r="Q38" t="str">
        <f t="shared" si="5"/>
        <v>$L$38:$L$42</v>
      </c>
      <c r="R38" s="92">
        <f t="shared" ca="1" si="6"/>
        <v>1</v>
      </c>
      <c r="S38" s="91">
        <f t="shared" ca="1" si="7"/>
        <v>11</v>
      </c>
      <c r="T38" t="str">
        <f t="shared" si="8"/>
        <v>$S$38:$S$42</v>
      </c>
      <c r="U38">
        <f t="shared" ca="1" si="9"/>
        <v>1</v>
      </c>
      <c r="V38" t="str">
        <f t="shared" si="10"/>
        <v>$U$38:$U$38</v>
      </c>
      <c r="W38" s="92">
        <f t="shared" ca="1" si="11"/>
        <v>1</v>
      </c>
      <c r="X38" s="96">
        <f t="shared" ca="1" si="12"/>
        <v>46</v>
      </c>
      <c r="Y38" s="97" t="str">
        <f t="shared" ca="1" si="13"/>
        <v>Savings Account</v>
      </c>
      <c r="Z38" s="98">
        <v>9210</v>
      </c>
      <c r="AA38" s="98">
        <f t="shared" ca="1" si="15"/>
        <v>9100</v>
      </c>
      <c r="AB38" s="99">
        <f t="shared" ca="1" si="16"/>
        <v>1.012087912087912</v>
      </c>
      <c r="AC38" s="98">
        <f t="shared" ca="1" si="17"/>
        <v>0</v>
      </c>
      <c r="AD38" s="98">
        <f t="shared" ca="1" si="18"/>
        <v>110</v>
      </c>
    </row>
    <row r="39" spans="3:44" x14ac:dyDescent="0.3">
      <c r="C39" s="91" cm="1">
        <f t="array" ref="C39">IF(C38=-1,-1,
    IF(C38&lt;Income_max_row, C38+1,
      IF(C38=Income_max_row, income_total_row,
       IF(C38=income_total_row, "/1",
                     IF(C38="/1", expenses_header_row,
                        IF(C38&lt;expenses_max_row,C38+1,
                             IF(C38=expenses_max_row, expenses_total_row,
                                          IF(C38=expenses_total_row, "/2",
                                                  IF(C38="/2", savings_header_row,
                                                               IF(C38&lt;savings_max_row, C38+1,
                                                                    IF(C38=savings_max_row,savings_total_row, -1)))))))))))</f>
        <v>47</v>
      </c>
      <c r="D39" s="92">
        <f t="shared" si="0"/>
        <v>45</v>
      </c>
      <c r="E39" s="91" cm="1">
        <f t="array" ref="E39">1*OR(row_id=Income_header_row,row_id=expenses_header_row,row_id=savings_header_row)</f>
        <v>0</v>
      </c>
      <c r="F39">
        <f t="shared" si="1"/>
        <v>1</v>
      </c>
      <c r="G39" cm="1">
        <f t="array" ref="G39">1*OR(row_id=income_total_row, row_id=expenses_total_row,row_id=savings_total_row)</f>
        <v>0</v>
      </c>
      <c r="H39" s="92">
        <f t="shared" si="2"/>
        <v>0</v>
      </c>
      <c r="I39" s="91" t="str" cm="1">
        <f t="array" ref="I39">IFERROR(INDEX('Budget planning'!$C:$C,header_row_id),"")</f>
        <v>Savings</v>
      </c>
      <c r="J39" t="str" cm="1">
        <f t="array" ref="J39">IFERROR(INDEX('Budget planning'!$C:$C,row_id),"")</f>
        <v>Retirement Account</v>
      </c>
      <c r="K39" s="72" cm="1">
        <f t="array" ref="K39">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39" s="94" cm="1">
        <f t="array" ref="L39">IF(OR(is_header, _is_empty), "",
     INDEX('Budget planning'!$E:$DY, row_id,
        MATCH(IF(selected_period="Total Year", selected_year, DATE(selected_year, selected_period, 1)), 'Budget planning'!$E$10:$DY$10, 0) ))</f>
        <v>0</v>
      </c>
      <c r="M39" s="91" cm="1">
        <f t="array" ref="M39">IF(is_cat,
          IF(header_row_id=Income_header_row, MATCH(income_min_row,$C:$C, 0),
            IF(header_row_id=expenses_header_row, MATCH(expenses_min_row,$C:$C, 0),
                  IF(header_row_id=savings_header_row, MATCH(savings_min_row,$C:$C, 0), ""))), "")</f>
        <v>38</v>
      </c>
      <c r="N39" s="92" cm="1">
        <f t="array" ref="N39">IF(is_cat,
          IF(header_row_id=Income_header_row, MATCH(Income_max_row,$C:$C, 0),
            IF(header_row_id=expenses_header_row, MATCH(expenses_max_row,$C:$C, 0),
                  IF(header_row_id=savings_header_row, MATCH(savings_max_row,$C:$C, 0), ""))), "")</f>
        <v>42</v>
      </c>
      <c r="O39" s="91" t="str">
        <f t="shared" si="3"/>
        <v>$K$38:$K$42</v>
      </c>
      <c r="P39">
        <f t="shared" ca="1" si="4"/>
        <v>1</v>
      </c>
      <c r="Q39" t="str">
        <f t="shared" si="5"/>
        <v>$L$38:$L$42</v>
      </c>
      <c r="R39" s="92">
        <f t="shared" ca="1" si="6"/>
        <v>2</v>
      </c>
      <c r="S39" s="91">
        <f t="shared" ca="1" si="7"/>
        <v>12</v>
      </c>
      <c r="T39" t="str">
        <f t="shared" si="8"/>
        <v>$S$38:$S$42</v>
      </c>
      <c r="U39">
        <f t="shared" ca="1" si="9"/>
        <v>2</v>
      </c>
      <c r="V39" t="str">
        <f t="shared" si="10"/>
        <v>$U$38:$U$39</v>
      </c>
      <c r="W39" s="92">
        <f t="shared" ca="1" si="11"/>
        <v>2</v>
      </c>
      <c r="X39" s="96">
        <f t="shared" ca="1" si="12"/>
        <v>47</v>
      </c>
      <c r="Y39" s="97" t="str">
        <f t="shared" ca="1" si="13"/>
        <v>Retirement Account</v>
      </c>
      <c r="Z39" s="98">
        <f t="shared" ca="1" si="14"/>
        <v>0</v>
      </c>
      <c r="AA39" s="98">
        <f t="shared" ca="1" si="15"/>
        <v>0</v>
      </c>
      <c r="AB39" s="99" t="str">
        <f t="shared" ca="1" si="16"/>
        <v>-</v>
      </c>
      <c r="AC39" s="98">
        <f t="shared" ca="1" si="17"/>
        <v>0</v>
      </c>
      <c r="AD39" s="98">
        <f t="shared" ca="1" si="18"/>
        <v>0</v>
      </c>
    </row>
    <row r="40" spans="3:44" x14ac:dyDescent="0.3">
      <c r="C40" s="91" cm="1">
        <f t="array" ref="C40">IF(C39=-1,-1,
    IF(C39&lt;Income_max_row, C39+1,
      IF(C39=Income_max_row, income_total_row,
       IF(C39=income_total_row, "/1",
                     IF(C39="/1", expenses_header_row,
                        IF(C39&lt;expenses_max_row,C39+1,
                             IF(C39=expenses_max_row, expenses_total_row,
                                          IF(C39=expenses_total_row, "/2",
                                                  IF(C39="/2", savings_header_row,
                                                               IF(C39&lt;savings_max_row, C39+1,
                                                                    IF(C39=savings_max_row,savings_total_row, -1)))))))))))</f>
        <v>48</v>
      </c>
      <c r="D40" s="92">
        <f t="shared" si="0"/>
        <v>45</v>
      </c>
      <c r="E40" s="91" cm="1">
        <f t="array" ref="E40">1*OR(row_id=Income_header_row,row_id=expenses_header_row,row_id=savings_header_row)</f>
        <v>0</v>
      </c>
      <c r="F40">
        <f t="shared" si="1"/>
        <v>1</v>
      </c>
      <c r="G40" cm="1">
        <f t="array" ref="G40">1*OR(row_id=income_total_row, row_id=expenses_total_row,row_id=savings_total_row)</f>
        <v>0</v>
      </c>
      <c r="H40" s="92">
        <f t="shared" si="2"/>
        <v>0</v>
      </c>
      <c r="I40" s="91" t="str" cm="1">
        <f t="array" ref="I40">IFERROR(INDEX('Budget planning'!$C:$C,header_row_id),"")</f>
        <v>Savings</v>
      </c>
      <c r="J40" t="str" cm="1">
        <f t="array" ref="J40">IFERROR(INDEX('Budget planning'!$C:$C,row_id),"")</f>
        <v>Dividends</v>
      </c>
      <c r="K40" s="72" cm="1">
        <f t="array" ref="K40">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40" s="94" cm="1">
        <f t="array" ref="L40">IF(OR(is_header, _is_empty), "",
     INDEX('Budget planning'!$E:$DY, row_id,
        MATCH(IF(selected_period="Total Year", selected_year, DATE(selected_year, selected_period, 1)), 'Budget planning'!$E$10:$DY$10, 0) ))</f>
        <v>0</v>
      </c>
      <c r="M40" s="91" cm="1">
        <f t="array" ref="M40">IF(is_cat,
          IF(header_row_id=Income_header_row, MATCH(income_min_row,$C:$C, 0),
            IF(header_row_id=expenses_header_row, MATCH(expenses_min_row,$C:$C, 0),
                  IF(header_row_id=savings_header_row, MATCH(savings_min_row,$C:$C, 0), ""))), "")</f>
        <v>38</v>
      </c>
      <c r="N40" s="92" cm="1">
        <f t="array" ref="N40">IF(is_cat,
          IF(header_row_id=Income_header_row, MATCH(Income_max_row,$C:$C, 0),
            IF(header_row_id=expenses_header_row, MATCH(expenses_max_row,$C:$C, 0),
                  IF(header_row_id=savings_header_row, MATCH(savings_max_row,$C:$C, 0), ""))), "")</f>
        <v>42</v>
      </c>
      <c r="O40" s="91" t="str">
        <f t="shared" si="3"/>
        <v>$K$38:$K$42</v>
      </c>
      <c r="P40">
        <f t="shared" ca="1" si="4"/>
        <v>1</v>
      </c>
      <c r="Q40" t="str">
        <f t="shared" si="5"/>
        <v>$L$38:$L$42</v>
      </c>
      <c r="R40" s="92">
        <f t="shared" ca="1" si="6"/>
        <v>2</v>
      </c>
      <c r="S40" s="91">
        <f t="shared" ca="1" si="7"/>
        <v>12</v>
      </c>
      <c r="T40" t="str">
        <f t="shared" si="8"/>
        <v>$S$38:$S$42</v>
      </c>
      <c r="U40">
        <f t="shared" ca="1" si="9"/>
        <v>2</v>
      </c>
      <c r="V40" t="str">
        <f t="shared" si="10"/>
        <v>$U$38:$U$40</v>
      </c>
      <c r="W40" s="92">
        <f t="shared" ca="1" si="11"/>
        <v>3</v>
      </c>
      <c r="X40" s="96">
        <f t="shared" ca="1" si="12"/>
        <v>48</v>
      </c>
      <c r="Y40" s="97" t="str">
        <f t="shared" ca="1" si="13"/>
        <v>Dividends</v>
      </c>
      <c r="Z40" s="98">
        <f t="shared" ca="1" si="14"/>
        <v>0</v>
      </c>
      <c r="AA40" s="98">
        <f t="shared" ca="1" si="15"/>
        <v>0</v>
      </c>
      <c r="AB40" s="99" t="str">
        <f t="shared" ca="1" si="16"/>
        <v>-</v>
      </c>
      <c r="AC40" s="98">
        <f t="shared" ca="1" si="17"/>
        <v>0</v>
      </c>
      <c r="AD40" s="98">
        <f t="shared" ca="1" si="18"/>
        <v>0</v>
      </c>
    </row>
    <row r="41" spans="3:44" x14ac:dyDescent="0.3">
      <c r="C41" s="91" cm="1">
        <f t="array" ref="C41">IF(C40=-1,-1,
    IF(C40&lt;Income_max_row, C40+1,
      IF(C40=Income_max_row, income_total_row,
       IF(C40=income_total_row, "/1",
                     IF(C40="/1", expenses_header_row,
                        IF(C40&lt;expenses_max_row,C40+1,
                             IF(C40=expenses_max_row, expenses_total_row,
                                          IF(C40=expenses_total_row, "/2",
                                                  IF(C40="/2", savings_header_row,
                                                               IF(C40&lt;savings_max_row, C40+1,
                                                                    IF(C40=savings_max_row,savings_total_row, -1)))))))))))</f>
        <v>49</v>
      </c>
      <c r="D41" s="92">
        <f t="shared" si="0"/>
        <v>45</v>
      </c>
      <c r="E41" s="91" cm="1">
        <f t="array" ref="E41">1*OR(row_id=Income_header_row,row_id=expenses_header_row,row_id=savings_header_row)</f>
        <v>0</v>
      </c>
      <c r="F41">
        <f t="shared" si="1"/>
        <v>1</v>
      </c>
      <c r="G41" cm="1">
        <f t="array" ref="G41">1*OR(row_id=income_total_row, row_id=expenses_total_row,row_id=savings_total_row)</f>
        <v>0</v>
      </c>
      <c r="H41" s="92">
        <f t="shared" si="2"/>
        <v>0</v>
      </c>
      <c r="I41" s="91" t="str" cm="1">
        <f t="array" ref="I41">IFERROR(INDEX('Budget planning'!$C:$C,header_row_id),"")</f>
        <v>Savings</v>
      </c>
      <c r="J41" t="str" cm="1">
        <f t="array" ref="J41">IFERROR(INDEX('Budget planning'!$C:$C,row_id),"")</f>
        <v>Enter savings Category….</v>
      </c>
      <c r="K41" s="72" cm="1">
        <f t="array" ref="K41">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41" s="94" cm="1">
        <f t="array" ref="L41">IF(OR(is_header, _is_empty), "",
     INDEX('Budget planning'!$E:$DY, row_id,
        MATCH(IF(selected_period="Total Year", selected_year, DATE(selected_year, selected_period, 1)), 'Budget planning'!$E$10:$DY$10, 0) ))</f>
        <v>0</v>
      </c>
      <c r="M41" s="91" cm="1">
        <f t="array" ref="M41">IF(is_cat,
          IF(header_row_id=Income_header_row, MATCH(income_min_row,$C:$C, 0),
            IF(header_row_id=expenses_header_row, MATCH(expenses_min_row,$C:$C, 0),
                  IF(header_row_id=savings_header_row, MATCH(savings_min_row,$C:$C, 0), ""))), "")</f>
        <v>38</v>
      </c>
      <c r="N41" s="92" cm="1">
        <f t="array" ref="N41">IF(is_cat,
          IF(header_row_id=Income_header_row, MATCH(Income_max_row,$C:$C, 0),
            IF(header_row_id=expenses_header_row, MATCH(expenses_max_row,$C:$C, 0),
                  IF(header_row_id=savings_header_row, MATCH(savings_max_row,$C:$C, 0), ""))), "")</f>
        <v>42</v>
      </c>
      <c r="O41" s="91" t="str">
        <f t="shared" si="3"/>
        <v>$K$38:$K$42</v>
      </c>
      <c r="P41">
        <f t="shared" ca="1" si="4"/>
        <v>1</v>
      </c>
      <c r="Q41" t="str">
        <f t="shared" si="5"/>
        <v>$L$38:$L$42</v>
      </c>
      <c r="R41" s="92">
        <f t="shared" ca="1" si="6"/>
        <v>2</v>
      </c>
      <c r="S41" s="91">
        <f t="shared" ca="1" si="7"/>
        <v>12</v>
      </c>
      <c r="T41" t="str">
        <f t="shared" si="8"/>
        <v>$S$38:$S$42</v>
      </c>
      <c r="U41">
        <f t="shared" ca="1" si="9"/>
        <v>2</v>
      </c>
      <c r="V41" t="str">
        <f t="shared" si="10"/>
        <v>$U$38:$U$41</v>
      </c>
      <c r="W41" s="92">
        <f t="shared" ca="1" si="11"/>
        <v>4</v>
      </c>
      <c r="X41" s="96">
        <f t="shared" ca="1" si="12"/>
        <v>49</v>
      </c>
      <c r="Y41" s="97" t="str">
        <f t="shared" ca="1" si="13"/>
        <v>Enter savings Category….</v>
      </c>
      <c r="Z41" s="98">
        <f t="shared" ca="1" si="14"/>
        <v>0</v>
      </c>
      <c r="AA41" s="98">
        <f t="shared" ca="1" si="15"/>
        <v>0</v>
      </c>
      <c r="AB41" s="99" t="str">
        <f t="shared" ca="1" si="16"/>
        <v>-</v>
      </c>
      <c r="AC41" s="98">
        <f t="shared" ca="1" si="17"/>
        <v>0</v>
      </c>
      <c r="AD41" s="98">
        <f t="shared" ca="1" si="18"/>
        <v>0</v>
      </c>
    </row>
    <row r="42" spans="3:44" x14ac:dyDescent="0.3">
      <c r="C42" s="91" cm="1">
        <f t="array" ref="C42">IF(C41=-1,-1,
    IF(C41&lt;Income_max_row, C41+1,
      IF(C41=Income_max_row, income_total_row,
       IF(C41=income_total_row, "/1",
                     IF(C41="/1", expenses_header_row,
                        IF(C41&lt;expenses_max_row,C41+1,
                             IF(C41=expenses_max_row, expenses_total_row,
                                          IF(C41=expenses_total_row, "/2",
                                                  IF(C41="/2", savings_header_row,
                                                               IF(C41&lt;savings_max_row, C41+1,
                                                                    IF(C41=savings_max_row,savings_total_row, -1)))))))))))</f>
        <v>50</v>
      </c>
      <c r="D42" s="92">
        <f t="shared" si="0"/>
        <v>45</v>
      </c>
      <c r="E42" s="91" cm="1">
        <f t="array" ref="E42">1*OR(row_id=Income_header_row,row_id=expenses_header_row,row_id=savings_header_row)</f>
        <v>0</v>
      </c>
      <c r="F42">
        <f t="shared" si="1"/>
        <v>1</v>
      </c>
      <c r="G42" cm="1">
        <f t="array" ref="G42">1*OR(row_id=income_total_row, row_id=expenses_total_row,row_id=savings_total_row)</f>
        <v>0</v>
      </c>
      <c r="H42" s="92">
        <f t="shared" si="2"/>
        <v>0</v>
      </c>
      <c r="I42" s="91" t="str" cm="1">
        <f t="array" ref="I42">IFERROR(INDEX('Budget planning'!$C:$C,header_row_id),"")</f>
        <v>Savings</v>
      </c>
      <c r="J42" t="str" cm="1">
        <f t="array" ref="J42">IFERROR(INDEX('Budget planning'!$C:$C,row_id),"")</f>
        <v>Enter savings Category….</v>
      </c>
      <c r="K42" s="72" cm="1">
        <f t="array" ref="K42">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42" s="94" cm="1">
        <f t="array" ref="L42">IF(OR(is_header, _is_empty), "",
     INDEX('Budget planning'!$E:$DY, row_id,
        MATCH(IF(selected_period="Total Year", selected_year, DATE(selected_year, selected_period, 1)), 'Budget planning'!$E$10:$DY$10, 0) ))</f>
        <v>0</v>
      </c>
      <c r="M42" s="91" cm="1">
        <f t="array" ref="M42">IF(is_cat,
          IF(header_row_id=Income_header_row, MATCH(income_min_row,$C:$C, 0),
            IF(header_row_id=expenses_header_row, MATCH(expenses_min_row,$C:$C, 0),
                  IF(header_row_id=savings_header_row, MATCH(savings_min_row,$C:$C, 0), ""))), "")</f>
        <v>38</v>
      </c>
      <c r="N42" s="92" cm="1">
        <f t="array" ref="N42">IF(is_cat,
          IF(header_row_id=Income_header_row, MATCH(Income_max_row,$C:$C, 0),
            IF(header_row_id=expenses_header_row, MATCH(expenses_max_row,$C:$C, 0),
                  IF(header_row_id=savings_header_row, MATCH(savings_max_row,$C:$C, 0), ""))), "")</f>
        <v>42</v>
      </c>
      <c r="O42" s="91" t="str">
        <f t="shared" si="3"/>
        <v>$K$38:$K$42</v>
      </c>
      <c r="P42">
        <f t="shared" ca="1" si="4"/>
        <v>1</v>
      </c>
      <c r="Q42" t="str">
        <f t="shared" si="5"/>
        <v>$L$38:$L$42</v>
      </c>
      <c r="R42" s="92">
        <f t="shared" ca="1" si="6"/>
        <v>2</v>
      </c>
      <c r="S42" s="91">
        <f t="shared" ca="1" si="7"/>
        <v>12</v>
      </c>
      <c r="T42" t="str">
        <f t="shared" si="8"/>
        <v>$S$38:$S$42</v>
      </c>
      <c r="U42">
        <f t="shared" ca="1" si="9"/>
        <v>2</v>
      </c>
      <c r="V42" t="str">
        <f t="shared" si="10"/>
        <v>$U$38:$U$42</v>
      </c>
      <c r="W42" s="92">
        <f t="shared" ca="1" si="11"/>
        <v>5</v>
      </c>
      <c r="X42" s="96">
        <f t="shared" ca="1" si="12"/>
        <v>50</v>
      </c>
      <c r="Y42" s="97" t="str">
        <f t="shared" ca="1" si="13"/>
        <v>Enter savings Category….</v>
      </c>
      <c r="Z42" s="98">
        <f t="shared" ca="1" si="14"/>
        <v>0</v>
      </c>
      <c r="AA42" s="98">
        <f t="shared" ca="1" si="15"/>
        <v>0</v>
      </c>
      <c r="AB42" s="99" t="str">
        <f t="shared" ca="1" si="16"/>
        <v>-</v>
      </c>
      <c r="AC42" s="98">
        <f t="shared" ca="1" si="17"/>
        <v>0</v>
      </c>
      <c r="AD42" s="98">
        <f t="shared" ca="1" si="18"/>
        <v>0</v>
      </c>
    </row>
    <row r="43" spans="3:44" x14ac:dyDescent="0.3">
      <c r="C43" s="91" cm="1">
        <f t="array" ref="C43">IF(C42=-1,-1,
    IF(C42&lt;Income_max_row, C42+1,
      IF(C42=Income_max_row, income_total_row,
       IF(C42=income_total_row, "/1",
                     IF(C42="/1", expenses_header_row,
                        IF(C42&lt;expenses_max_row,C42+1,
                             IF(C42=expenses_max_row, expenses_total_row,
                                          IF(C42=expenses_total_row, "/2",
                                                  IF(C42="/2", savings_header_row,
                                                               IF(C42&lt;savings_max_row, C42+1,
                                                                    IF(C42=savings_max_row,savings_total_row, -1)))))))))))</f>
        <v>58</v>
      </c>
      <c r="D43" s="92">
        <f t="shared" si="0"/>
        <v>45</v>
      </c>
      <c r="E43" s="91" cm="1">
        <f t="array" ref="E43">1*OR(row_id=Income_header_row,row_id=expenses_header_row,row_id=savings_header_row)</f>
        <v>0</v>
      </c>
      <c r="F43">
        <f t="shared" si="1"/>
        <v>0</v>
      </c>
      <c r="G43" cm="1">
        <f t="array" ref="G43">1*OR(row_id=income_total_row, row_id=expenses_total_row,row_id=savings_total_row)</f>
        <v>1</v>
      </c>
      <c r="H43" s="92">
        <f t="shared" si="2"/>
        <v>0</v>
      </c>
      <c r="I43" s="91" t="str" cm="1">
        <f t="array" ref="I43">IFERROR(INDEX('Budget planning'!$C:$C,header_row_id),"")</f>
        <v>Savings</v>
      </c>
      <c r="J43" t="str" cm="1">
        <f t="array" ref="J43">IFERROR(INDEX('Budget planning'!$C:$C,row_id),"")</f>
        <v>Total</v>
      </c>
      <c r="K43" s="72" cm="1">
        <f t="array" ref="K43">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0</v>
      </c>
      <c r="L43" s="94" cm="1">
        <f t="array" aca="1" ref="L43" ca="1">IF(OR(is_header, _is_empty), "",
     INDEX('Budget planning'!$E:$DY, row_id,
        MATCH(IF(selected_period="Total Year", selected_year, DATE(selected_year, selected_period, 1)), 'Budget planning'!$E$10:$DY$10, 0) ))</f>
        <v>9100</v>
      </c>
      <c r="M43" s="91" t="str" cm="1">
        <f t="array" ref="M43">IF(is_cat,
          IF(header_row_id=Income_header_row, MATCH(income_min_row,$C:$C, 0),
            IF(header_row_id=expenses_header_row, MATCH(expenses_min_row,$C:$C, 0),
                  IF(header_row_id=savings_header_row, MATCH(savings_min_row,$C:$C, 0), ""))), "")</f>
        <v/>
      </c>
      <c r="N43" s="92" t="str" cm="1">
        <f t="array" ref="N43">IF(is_cat,
          IF(header_row_id=Income_header_row, MATCH(Income_max_row,$C:$C, 0),
            IF(header_row_id=expenses_header_row, MATCH(expenses_max_row,$C:$C, 0),
                  IF(header_row_id=savings_header_row, MATCH(savings_max_row,$C:$C, 0), ""))), "")</f>
        <v/>
      </c>
      <c r="O43" s="91" t="str">
        <f t="shared" si="3"/>
        <v/>
      </c>
      <c r="P43" t="str">
        <f t="shared" ca="1" si="4"/>
        <v/>
      </c>
      <c r="Q43" t="str">
        <f t="shared" si="5"/>
        <v/>
      </c>
      <c r="R43" s="92" t="str">
        <f t="shared" ca="1" si="6"/>
        <v/>
      </c>
      <c r="S43" s="91" t="str">
        <f t="shared" si="7"/>
        <v/>
      </c>
      <c r="T43" t="str">
        <f t="shared" si="8"/>
        <v/>
      </c>
      <c r="U43" t="str">
        <f t="shared" ca="1" si="9"/>
        <v/>
      </c>
      <c r="V43" t="str">
        <f t="shared" si="10"/>
        <v/>
      </c>
      <c r="W43" s="92" t="str">
        <f t="shared" ca="1" si="11"/>
        <v/>
      </c>
      <c r="X43" s="96">
        <f t="shared" si="12"/>
        <v>58</v>
      </c>
      <c r="Y43" s="97" t="str">
        <f t="shared" ca="1" si="13"/>
        <v>Total</v>
      </c>
      <c r="Z43" s="98">
        <f t="shared" ca="1" si="14"/>
        <v>0</v>
      </c>
      <c r="AA43" s="98">
        <f t="shared" ca="1" si="15"/>
        <v>9100</v>
      </c>
      <c r="AB43" s="99">
        <f t="shared" ca="1" si="16"/>
        <v>0</v>
      </c>
      <c r="AC43" s="98">
        <f t="shared" ca="1" si="17"/>
        <v>9100</v>
      </c>
      <c r="AD43" s="98">
        <f t="shared" ca="1" si="18"/>
        <v>0</v>
      </c>
    </row>
    <row r="44" spans="3:44" x14ac:dyDescent="0.3">
      <c r="C44" s="91" cm="1">
        <f t="array" ref="C44">IF(C43=-1,-1,
    IF(C43&lt;Income_max_row, C43+1,
      IF(C43=Income_max_row, income_total_row,
       IF(C43=income_total_row, "/1",
                     IF(C43="/1", expenses_header_row,
                        IF(C43&lt;expenses_max_row,C43+1,
                             IF(C43=expenses_max_row, expenses_total_row,
                                          IF(C43=expenses_total_row, "/2",
                                                  IF(C43="/2", savings_header_row,
                                                               IF(C43&lt;savings_max_row, C43+1,
                                                                    IF(C43=savings_max_row,savings_total_row, -1)))))))))))</f>
        <v>-1</v>
      </c>
      <c r="D44" s="92">
        <f t="shared" si="0"/>
        <v>-1</v>
      </c>
      <c r="E44" s="91" cm="1">
        <f t="array" ref="E44">1*OR(row_id=Income_header_row,row_id=expenses_header_row,row_id=savings_header_row)</f>
        <v>0</v>
      </c>
      <c r="F44">
        <f t="shared" si="1"/>
        <v>0</v>
      </c>
      <c r="G44" cm="1">
        <f t="array" ref="G44">1*OR(row_id=income_total_row, row_id=expenses_total_row,row_id=savings_total_row)</f>
        <v>0</v>
      </c>
      <c r="H44" s="92">
        <f t="shared" si="2"/>
        <v>1</v>
      </c>
      <c r="I44" s="91" t="str" cm="1">
        <f t="array" ref="I44">IFERROR(INDEX('Budget planning'!$C:$C,header_row_id),"")</f>
        <v/>
      </c>
      <c r="J44" t="str" cm="1">
        <f t="array" ref="J44">IFERROR(INDEX('Budget planning'!$C:$C,row_id),"")</f>
        <v/>
      </c>
      <c r="K44" s="72" t="str" cm="1">
        <f t="array" ref="K44">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44" s="94" t="str" cm="1">
        <f t="array" ref="L44">IF(OR(is_header, _is_empty), "",
     INDEX('Budget planning'!$E:$DY, row_id,
        MATCH(IF(selected_period="Total Year", selected_year, DATE(selected_year, selected_period, 1)), 'Budget planning'!$E$10:$DY$10, 0) ))</f>
        <v/>
      </c>
      <c r="M44" s="91" t="str" cm="1">
        <f t="array" ref="M44">IF(is_cat,
          IF(header_row_id=Income_header_row, MATCH(income_min_row,$C:$C, 0),
            IF(header_row_id=expenses_header_row, MATCH(expenses_min_row,$C:$C, 0),
                  IF(header_row_id=savings_header_row, MATCH(savings_min_row,$C:$C, 0), ""))), "")</f>
        <v/>
      </c>
      <c r="N44" s="92" t="str" cm="1">
        <f t="array" ref="N44">IF(is_cat,
          IF(header_row_id=Income_header_row, MATCH(Income_max_row,$C:$C, 0),
            IF(header_row_id=expenses_header_row, MATCH(expenses_max_row,$C:$C, 0),
                  IF(header_row_id=savings_header_row, MATCH(savings_max_row,$C:$C, 0), ""))), "")</f>
        <v/>
      </c>
      <c r="O44" s="91" t="str">
        <f t="shared" si="3"/>
        <v/>
      </c>
      <c r="P44" t="str">
        <f t="shared" ca="1" si="4"/>
        <v/>
      </c>
      <c r="Q44" t="str">
        <f t="shared" si="5"/>
        <v/>
      </c>
      <c r="R44" s="92" t="str">
        <f t="shared" ca="1" si="6"/>
        <v/>
      </c>
      <c r="S44" s="91" t="str">
        <f t="shared" si="7"/>
        <v/>
      </c>
      <c r="T44" t="str">
        <f t="shared" si="8"/>
        <v/>
      </c>
      <c r="U44" t="str">
        <f t="shared" ca="1" si="9"/>
        <v/>
      </c>
      <c r="V44" t="str">
        <f t="shared" si="10"/>
        <v/>
      </c>
      <c r="W44" s="92" t="str">
        <f t="shared" ca="1" si="11"/>
        <v/>
      </c>
      <c r="X44" s="96">
        <f t="shared" si="12"/>
        <v>-1</v>
      </c>
      <c r="Y44" s="97" t="str">
        <f t="shared" si="13"/>
        <v/>
      </c>
      <c r="Z44" s="98" t="str">
        <f t="shared" si="14"/>
        <v/>
      </c>
      <c r="AA44" s="98" t="str">
        <f t="shared" si="15"/>
        <v/>
      </c>
      <c r="AB44" s="99" t="str">
        <f t="shared" si="16"/>
        <v/>
      </c>
      <c r="AC44" s="98" t="str">
        <f t="shared" si="17"/>
        <v/>
      </c>
      <c r="AD44" s="98" t="str">
        <f t="shared" si="18"/>
        <v/>
      </c>
    </row>
    <row r="45" spans="3:44" x14ac:dyDescent="0.3">
      <c r="C45" s="91" cm="1">
        <f t="array" ref="C45">IF(C44=-1,-1,
    IF(C44&lt;Income_max_row, C44+1,
      IF(C44=Income_max_row, income_total_row,
       IF(C44=income_total_row, "/1",
                     IF(C44="/1", expenses_header_row,
                        IF(C44&lt;expenses_max_row,C44+1,
                             IF(C44=expenses_max_row, expenses_total_row,
                                          IF(C44=expenses_total_row, "/2",
                                                  IF(C44="/2", savings_header_row,
                                                               IF(C44&lt;savings_max_row, C44+1,
                                                                    IF(C44=savings_max_row,savings_total_row, -1)))))))))))</f>
        <v>-1</v>
      </c>
      <c r="D45" s="92">
        <f t="shared" si="0"/>
        <v>-1</v>
      </c>
      <c r="E45" s="91" cm="1">
        <f t="array" ref="E45">1*OR(row_id=Income_header_row,row_id=expenses_header_row,row_id=savings_header_row)</f>
        <v>0</v>
      </c>
      <c r="F45">
        <f t="shared" si="1"/>
        <v>0</v>
      </c>
      <c r="G45" cm="1">
        <f t="array" ref="G45">1*OR(row_id=income_total_row, row_id=expenses_total_row,row_id=savings_total_row)</f>
        <v>0</v>
      </c>
      <c r="H45" s="92">
        <f t="shared" si="2"/>
        <v>1</v>
      </c>
      <c r="I45" s="91" t="str" cm="1">
        <f t="array" ref="I45">IFERROR(INDEX('Budget planning'!$C:$C,header_row_id),"")</f>
        <v/>
      </c>
      <c r="J45" t="str" cm="1">
        <f t="array" ref="J45">IFERROR(INDEX('Budget planning'!$C:$C,row_id),"")</f>
        <v/>
      </c>
      <c r="K45" s="72" t="str" cm="1">
        <f t="array" ref="K45">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45" s="94" t="str" cm="1">
        <f t="array" ref="L45">IF(OR(is_header, _is_empty), "",
     INDEX('Budget planning'!$E:$DY, row_id,
        MATCH(IF(selected_period="Total Year", selected_year, DATE(selected_year, selected_period, 1)), 'Budget planning'!$E$10:$DY$10, 0) ))</f>
        <v/>
      </c>
      <c r="M45" s="91" t="str" cm="1">
        <f t="array" ref="M45">IF(is_cat,
          IF(header_row_id=Income_header_row, MATCH(income_min_row,$C:$C, 0),
            IF(header_row_id=expenses_header_row, MATCH(expenses_min_row,$C:$C, 0),
                  IF(header_row_id=savings_header_row, MATCH(savings_min_row,$C:$C, 0), ""))), "")</f>
        <v/>
      </c>
      <c r="N45" s="92" t="str" cm="1">
        <f t="array" ref="N45">IF(is_cat,
          IF(header_row_id=Income_header_row, MATCH(Income_max_row,$C:$C, 0),
            IF(header_row_id=expenses_header_row, MATCH(expenses_max_row,$C:$C, 0),
                  IF(header_row_id=savings_header_row, MATCH(savings_max_row,$C:$C, 0), ""))), "")</f>
        <v/>
      </c>
      <c r="O45" s="91" t="str">
        <f t="shared" si="3"/>
        <v/>
      </c>
      <c r="P45" t="str">
        <f t="shared" ca="1" si="4"/>
        <v/>
      </c>
      <c r="Q45" t="str">
        <f t="shared" si="5"/>
        <v/>
      </c>
      <c r="R45" s="92" t="str">
        <f t="shared" ca="1" si="6"/>
        <v/>
      </c>
      <c r="S45" s="91" t="str">
        <f t="shared" si="7"/>
        <v/>
      </c>
      <c r="T45" t="str">
        <f t="shared" si="8"/>
        <v/>
      </c>
      <c r="U45" t="str">
        <f t="shared" ca="1" si="9"/>
        <v/>
      </c>
      <c r="V45" t="str">
        <f t="shared" si="10"/>
        <v/>
      </c>
      <c r="W45" s="92" t="str">
        <f t="shared" ca="1" si="11"/>
        <v/>
      </c>
      <c r="X45" s="96">
        <f t="shared" si="12"/>
        <v>-1</v>
      </c>
      <c r="Y45" s="97" t="str">
        <f t="shared" si="13"/>
        <v/>
      </c>
      <c r="Z45" s="98" t="str">
        <f t="shared" si="14"/>
        <v/>
      </c>
      <c r="AA45" s="98" t="str">
        <f t="shared" si="15"/>
        <v/>
      </c>
      <c r="AB45" s="99" t="str">
        <f t="shared" si="16"/>
        <v/>
      </c>
      <c r="AC45" s="98" t="str">
        <f t="shared" si="17"/>
        <v/>
      </c>
      <c r="AD45" s="98" t="str">
        <f t="shared" si="18"/>
        <v/>
      </c>
    </row>
    <row r="46" spans="3:44" x14ac:dyDescent="0.3">
      <c r="C46" s="91" cm="1">
        <f t="array" ref="C46">IF(C45=-1,-1,
    IF(C45&lt;Income_max_row, C45+1,
      IF(C45=Income_max_row, income_total_row,
       IF(C45=income_total_row, "/1",
                     IF(C45="/1", expenses_header_row,
                        IF(C45&lt;expenses_max_row,C45+1,
                             IF(C45=expenses_max_row, expenses_total_row,
                                          IF(C45=expenses_total_row, "/2",
                                                  IF(C45="/2", savings_header_row,
                                                               IF(C45&lt;savings_max_row, C45+1,
                                                                    IF(C45=savings_max_row,savings_total_row, -1)))))))))))</f>
        <v>-1</v>
      </c>
      <c r="D46" s="92">
        <f t="shared" si="0"/>
        <v>-1</v>
      </c>
      <c r="E46" s="91" cm="1">
        <f t="array" ref="E46">1*OR(row_id=Income_header_row,row_id=expenses_header_row,row_id=savings_header_row)</f>
        <v>0</v>
      </c>
      <c r="F46">
        <f t="shared" si="1"/>
        <v>0</v>
      </c>
      <c r="G46" cm="1">
        <f t="array" ref="G46">1*OR(row_id=income_total_row, row_id=expenses_total_row,row_id=savings_total_row)</f>
        <v>0</v>
      </c>
      <c r="H46" s="92">
        <f t="shared" si="2"/>
        <v>1</v>
      </c>
      <c r="I46" s="91" t="str" cm="1">
        <f t="array" ref="I46">IFERROR(INDEX('Budget planning'!$C:$C,header_row_id),"")</f>
        <v/>
      </c>
      <c r="J46" t="str" cm="1">
        <f t="array" ref="J46">IFERROR(INDEX('Budget planning'!$C:$C,row_id),"")</f>
        <v/>
      </c>
      <c r="K46" s="72" t="str" cm="1">
        <f t="array" ref="K46">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46" s="94" t="str" cm="1">
        <f t="array" ref="L46">IF(OR(is_header, _is_empty), "",
     INDEX('Budget planning'!$E:$DY, row_id,
        MATCH(IF(selected_period="Total Year", selected_year, DATE(selected_year, selected_period, 1)), 'Budget planning'!$E$10:$DY$10, 0) ))</f>
        <v/>
      </c>
      <c r="M46" s="91" t="str" cm="1">
        <f t="array" ref="M46">IF(is_cat,
          IF(header_row_id=Income_header_row, MATCH(income_min_row,$C:$C, 0),
            IF(header_row_id=expenses_header_row, MATCH(expenses_min_row,$C:$C, 0),
                  IF(header_row_id=savings_header_row, MATCH(savings_min_row,$C:$C, 0), ""))), "")</f>
        <v/>
      </c>
      <c r="N46" s="92" t="str" cm="1">
        <f t="array" ref="N46">IF(is_cat,
          IF(header_row_id=Income_header_row, MATCH(Income_max_row,$C:$C, 0),
            IF(header_row_id=expenses_header_row, MATCH(expenses_max_row,$C:$C, 0),
                  IF(header_row_id=savings_header_row, MATCH(savings_max_row,$C:$C, 0), ""))), "")</f>
        <v/>
      </c>
      <c r="O46" s="91" t="str">
        <f t="shared" si="3"/>
        <v/>
      </c>
      <c r="P46" t="str">
        <f t="shared" ca="1" si="4"/>
        <v/>
      </c>
      <c r="Q46" t="str">
        <f t="shared" si="5"/>
        <v/>
      </c>
      <c r="R46" s="92" t="str">
        <f t="shared" ca="1" si="6"/>
        <v/>
      </c>
      <c r="S46" s="91" t="str">
        <f t="shared" si="7"/>
        <v/>
      </c>
      <c r="T46" t="str">
        <f t="shared" si="8"/>
        <v/>
      </c>
      <c r="U46" t="str">
        <f t="shared" ca="1" si="9"/>
        <v/>
      </c>
      <c r="V46" t="str">
        <f t="shared" si="10"/>
        <v/>
      </c>
      <c r="W46" s="92" t="str">
        <f t="shared" ca="1" si="11"/>
        <v/>
      </c>
      <c r="X46" s="96">
        <f t="shared" si="12"/>
        <v>-1</v>
      </c>
      <c r="Y46" s="97" t="str">
        <f t="shared" si="13"/>
        <v/>
      </c>
      <c r="Z46" s="98" t="str">
        <f t="shared" si="14"/>
        <v/>
      </c>
      <c r="AA46" s="98" t="str">
        <f t="shared" si="15"/>
        <v/>
      </c>
      <c r="AB46" s="99" t="str">
        <f t="shared" si="16"/>
        <v/>
      </c>
      <c r="AC46" s="98" t="str">
        <f t="shared" si="17"/>
        <v/>
      </c>
      <c r="AD46" s="98" t="str">
        <f t="shared" si="18"/>
        <v/>
      </c>
    </row>
    <row r="47" spans="3:44" x14ac:dyDescent="0.3">
      <c r="C47" s="91" cm="1">
        <f t="array" ref="C47">IF(C46=-1,-1,
    IF(C46&lt;Income_max_row, C46+1,
      IF(C46=Income_max_row, income_total_row,
       IF(C46=income_total_row, "/1",
                     IF(C46="/1", expenses_header_row,
                        IF(C46&lt;expenses_max_row,C46+1,
                             IF(C46=expenses_max_row, expenses_total_row,
                                          IF(C46=expenses_total_row, "/2",
                                                  IF(C46="/2", savings_header_row,
                                                               IF(C46&lt;savings_max_row, C46+1,
                                                                    IF(C46=savings_max_row,savings_total_row, -1)))))))))))</f>
        <v>-1</v>
      </c>
      <c r="D47" s="92">
        <f t="shared" si="0"/>
        <v>-1</v>
      </c>
      <c r="E47" s="91" cm="1">
        <f t="array" ref="E47">1*OR(row_id=Income_header_row,row_id=expenses_header_row,row_id=savings_header_row)</f>
        <v>0</v>
      </c>
      <c r="F47">
        <f t="shared" si="1"/>
        <v>0</v>
      </c>
      <c r="G47" cm="1">
        <f t="array" ref="G47">1*OR(row_id=income_total_row, row_id=expenses_total_row,row_id=savings_total_row)</f>
        <v>0</v>
      </c>
      <c r="H47" s="92">
        <f t="shared" si="2"/>
        <v>1</v>
      </c>
      <c r="I47" s="91" t="str" cm="1">
        <f t="array" ref="I47">IFERROR(INDEX('Budget planning'!$C:$C,header_row_id),"")</f>
        <v/>
      </c>
      <c r="J47" t="str" cm="1">
        <f t="array" ref="J47">IFERROR(INDEX('Budget planning'!$C:$C,row_id),"")</f>
        <v/>
      </c>
      <c r="K47" s="72" t="str" cm="1">
        <f t="array" ref="K47">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47" s="94" t="str" cm="1">
        <f t="array" ref="L47">IF(OR(is_header, _is_empty), "",
     INDEX('Budget planning'!$E:$DY, row_id,
        MATCH(IF(selected_period="Total Year", selected_year, DATE(selected_year, selected_period, 1)), 'Budget planning'!$E$10:$DY$10, 0) ))</f>
        <v/>
      </c>
      <c r="M47" s="91" t="str" cm="1">
        <f t="array" ref="M47">IF(is_cat,
          IF(header_row_id=Income_header_row, MATCH(income_min_row,$C:$C, 0),
            IF(header_row_id=expenses_header_row, MATCH(expenses_min_row,$C:$C, 0),
                  IF(header_row_id=savings_header_row, MATCH(savings_min_row,$C:$C, 0), ""))), "")</f>
        <v/>
      </c>
      <c r="N47" s="92" t="str" cm="1">
        <f t="array" ref="N47">IF(is_cat,
          IF(header_row_id=Income_header_row, MATCH(Income_max_row,$C:$C, 0),
            IF(header_row_id=expenses_header_row, MATCH(expenses_max_row,$C:$C, 0),
                  IF(header_row_id=savings_header_row, MATCH(savings_max_row,$C:$C, 0), ""))), "")</f>
        <v/>
      </c>
      <c r="O47" s="91" t="str">
        <f t="shared" si="3"/>
        <v/>
      </c>
      <c r="P47" t="str">
        <f t="shared" ca="1" si="4"/>
        <v/>
      </c>
      <c r="Q47" t="str">
        <f t="shared" si="5"/>
        <v/>
      </c>
      <c r="R47" s="92" t="str">
        <f t="shared" ca="1" si="6"/>
        <v/>
      </c>
      <c r="S47" s="91" t="str">
        <f t="shared" si="7"/>
        <v/>
      </c>
      <c r="T47" t="str">
        <f t="shared" si="8"/>
        <v/>
      </c>
      <c r="U47" t="str">
        <f t="shared" ca="1" si="9"/>
        <v/>
      </c>
      <c r="V47" t="str">
        <f t="shared" si="10"/>
        <v/>
      </c>
      <c r="W47" s="92" t="str">
        <f t="shared" ca="1" si="11"/>
        <v/>
      </c>
      <c r="X47" s="96">
        <f t="shared" si="12"/>
        <v>-1</v>
      </c>
      <c r="Y47" s="97" t="str">
        <f t="shared" si="13"/>
        <v/>
      </c>
      <c r="Z47" s="98" t="str">
        <f t="shared" si="14"/>
        <v/>
      </c>
      <c r="AA47" s="98" t="str">
        <f t="shared" si="15"/>
        <v/>
      </c>
      <c r="AB47" s="99" t="str">
        <f t="shared" si="16"/>
        <v/>
      </c>
      <c r="AC47" s="98" t="str">
        <f t="shared" si="17"/>
        <v/>
      </c>
      <c r="AD47" s="98" t="str">
        <f t="shared" si="18"/>
        <v/>
      </c>
    </row>
    <row r="48" spans="3:44" x14ac:dyDescent="0.3">
      <c r="C48" s="91" cm="1">
        <f t="array" ref="C48">IF(C47=-1,-1,
    IF(C47&lt;Income_max_row, C47+1,
      IF(C47=Income_max_row, income_total_row,
       IF(C47=income_total_row, "/1",
                     IF(C47="/1", expenses_header_row,
                        IF(C47&lt;expenses_max_row,C47+1,
                             IF(C47=expenses_max_row, expenses_total_row,
                                          IF(C47=expenses_total_row, "/2",
                                                  IF(C47="/2", savings_header_row,
                                                               IF(C47&lt;savings_max_row, C47+1,
                                                                    IF(C47=savings_max_row,savings_total_row, -1)))))))))))</f>
        <v>-1</v>
      </c>
      <c r="D48" s="92">
        <f t="shared" si="0"/>
        <v>-1</v>
      </c>
      <c r="E48" s="91" cm="1">
        <f t="array" ref="E48">1*OR(row_id=Income_header_row,row_id=expenses_header_row,row_id=savings_header_row)</f>
        <v>0</v>
      </c>
      <c r="F48">
        <f t="shared" si="1"/>
        <v>0</v>
      </c>
      <c r="G48" cm="1">
        <f t="array" ref="G48">1*OR(row_id=income_total_row, row_id=expenses_total_row,row_id=savings_total_row)</f>
        <v>0</v>
      </c>
      <c r="H48" s="92">
        <f t="shared" si="2"/>
        <v>1</v>
      </c>
      <c r="I48" s="91" t="str" cm="1">
        <f t="array" ref="I48">IFERROR(INDEX('Budget planning'!$C:$C,header_row_id),"")</f>
        <v/>
      </c>
      <c r="J48" t="str" cm="1">
        <f t="array" ref="J48">IFERROR(INDEX('Budget planning'!$C:$C,row_id),"")</f>
        <v/>
      </c>
      <c r="K48" s="72" t="str" cm="1">
        <f t="array" ref="K48">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48" s="94" t="str" cm="1">
        <f t="array" ref="L48">IF(OR(is_header, _is_empty), "",
     INDEX('Budget planning'!$E:$DY, row_id,
        MATCH(IF(selected_period="Total Year", selected_year, DATE(selected_year, selected_period, 1)), 'Budget planning'!$E$10:$DY$10, 0) ))</f>
        <v/>
      </c>
      <c r="M48" s="91" t="str" cm="1">
        <f t="array" ref="M48">IF(is_cat,
          IF(header_row_id=Income_header_row, MATCH(income_min_row,$C:$C, 0),
            IF(header_row_id=expenses_header_row, MATCH(expenses_min_row,$C:$C, 0),
                  IF(header_row_id=savings_header_row, MATCH(savings_min_row,$C:$C, 0), ""))), "")</f>
        <v/>
      </c>
      <c r="N48" s="92" t="str" cm="1">
        <f t="array" ref="N48">IF(is_cat,
          IF(header_row_id=Income_header_row, MATCH(Income_max_row,$C:$C, 0),
            IF(header_row_id=expenses_header_row, MATCH(expenses_max_row,$C:$C, 0),
                  IF(header_row_id=savings_header_row, MATCH(savings_max_row,$C:$C, 0), ""))), "")</f>
        <v/>
      </c>
      <c r="O48" s="91" t="str">
        <f t="shared" si="3"/>
        <v/>
      </c>
      <c r="P48" t="str">
        <f t="shared" ca="1" si="4"/>
        <v/>
      </c>
      <c r="Q48" t="str">
        <f t="shared" si="5"/>
        <v/>
      </c>
      <c r="R48" s="92" t="str">
        <f t="shared" ca="1" si="6"/>
        <v/>
      </c>
      <c r="S48" s="91" t="str">
        <f t="shared" si="7"/>
        <v/>
      </c>
      <c r="T48" t="str">
        <f t="shared" si="8"/>
        <v/>
      </c>
      <c r="U48" t="str">
        <f t="shared" ca="1" si="9"/>
        <v/>
      </c>
      <c r="V48" t="str">
        <f t="shared" si="10"/>
        <v/>
      </c>
      <c r="W48" s="92" t="str">
        <f t="shared" ca="1" si="11"/>
        <v/>
      </c>
      <c r="X48" s="96">
        <f t="shared" si="12"/>
        <v>-1</v>
      </c>
      <c r="Y48" s="97" t="str">
        <f t="shared" si="13"/>
        <v/>
      </c>
      <c r="Z48" s="98" t="str">
        <f t="shared" si="14"/>
        <v/>
      </c>
      <c r="AA48" s="98" t="str">
        <f t="shared" si="15"/>
        <v/>
      </c>
      <c r="AB48" s="99" t="str">
        <f t="shared" si="16"/>
        <v/>
      </c>
      <c r="AC48" s="98" t="str">
        <f t="shared" si="17"/>
        <v/>
      </c>
      <c r="AD48" s="98" t="str">
        <f t="shared" si="18"/>
        <v/>
      </c>
    </row>
    <row r="49" spans="3:30" x14ac:dyDescent="0.3">
      <c r="C49" s="91" cm="1">
        <f t="array" ref="C49">IF(C48=-1,-1,
    IF(C48&lt;Income_max_row, C48+1,
      IF(C48=Income_max_row, income_total_row,
       IF(C48=income_total_row, "/1",
                     IF(C48="/1", expenses_header_row,
                        IF(C48&lt;expenses_max_row,C48+1,
                             IF(C48=expenses_max_row, expenses_total_row,
                                          IF(C48=expenses_total_row, "/2",
                                                  IF(C48="/2", savings_header_row,
                                                               IF(C48&lt;savings_max_row, C48+1,
                                                                    IF(C48=savings_max_row,savings_total_row, -1)))))))))))</f>
        <v>-1</v>
      </c>
      <c r="D49" s="92">
        <f t="shared" si="0"/>
        <v>-1</v>
      </c>
      <c r="E49" s="91" t="b">
        <v>0</v>
      </c>
      <c r="F49">
        <f t="shared" si="1"/>
        <v>0</v>
      </c>
      <c r="G49" cm="1">
        <f t="array" ref="G49">1*OR(row_id=income_total_row, row_id=expenses_total_row,row_id=savings_total_row)</f>
        <v>0</v>
      </c>
      <c r="H49" s="92">
        <f t="shared" si="2"/>
        <v>1</v>
      </c>
      <c r="I49" s="91" t="str" cm="1">
        <f t="array" ref="I49">IFERROR(INDEX('Budget planning'!$C:$C,header_row_id),"")</f>
        <v/>
      </c>
      <c r="J49" t="str" cm="1">
        <f t="array" ref="J49">IFERROR(INDEX('Budget planning'!$C:$C,row_id),"")</f>
        <v/>
      </c>
      <c r="K49" s="72" t="str" cm="1">
        <f t="array" ref="K49">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49" s="94" t="str" cm="1">
        <f t="array" ref="L49">IF(OR(is_header, _is_empty), "",
     INDEX('Budget planning'!$E:$DY, row_id,
        MATCH(IF(selected_period="Total Year", selected_year, DATE(selected_year, selected_period, 1)), 'Budget planning'!$E$10:$DY$10, 0) ))</f>
        <v/>
      </c>
      <c r="M49" s="91" t="str" cm="1">
        <f t="array" ref="M49">IF(is_cat,
          IF(header_row_id=Income_header_row, MATCH(income_min_row,$C:$C, 0),
            IF(header_row_id=expenses_header_row, MATCH(expenses_min_row,$C:$C, 0),
                  IF(header_row_id=savings_header_row, MATCH(savings_min_row,$C:$C, 0), ""))), "")</f>
        <v/>
      </c>
      <c r="N49" s="92" t="str" cm="1">
        <f t="array" ref="N49">IF(is_cat,
          IF(header_row_id=Income_header_row, MATCH(Income_max_row,$C:$C, 0),
            IF(header_row_id=expenses_header_row, MATCH(expenses_max_row,$C:$C, 0),
                  IF(header_row_id=savings_header_row, MATCH(savings_max_row,$C:$C, 0), ""))), "")</f>
        <v/>
      </c>
      <c r="O49" s="91" t="str">
        <f t="shared" si="3"/>
        <v/>
      </c>
      <c r="P49" t="str">
        <f t="shared" ca="1" si="4"/>
        <v/>
      </c>
      <c r="Q49" t="str">
        <f t="shared" si="5"/>
        <v/>
      </c>
      <c r="R49" s="92" t="str">
        <f t="shared" ca="1" si="6"/>
        <v/>
      </c>
      <c r="S49" s="91" t="str">
        <f t="shared" si="7"/>
        <v/>
      </c>
      <c r="T49" t="str">
        <f t="shared" si="8"/>
        <v/>
      </c>
      <c r="U49" t="str">
        <f t="shared" ca="1" si="9"/>
        <v/>
      </c>
      <c r="V49" t="str">
        <f t="shared" si="10"/>
        <v/>
      </c>
      <c r="W49" s="92" t="str">
        <f t="shared" ca="1" si="11"/>
        <v/>
      </c>
      <c r="X49" s="96">
        <f t="shared" si="12"/>
        <v>-1</v>
      </c>
      <c r="Y49" s="97" t="str">
        <f t="shared" si="13"/>
        <v/>
      </c>
      <c r="Z49" s="98" t="str">
        <f t="shared" si="14"/>
        <v/>
      </c>
      <c r="AA49" s="98" t="str">
        <f t="shared" si="15"/>
        <v/>
      </c>
      <c r="AB49" s="99" t="str">
        <f t="shared" si="16"/>
        <v/>
      </c>
      <c r="AC49" s="98" t="str">
        <f t="shared" si="17"/>
        <v/>
      </c>
      <c r="AD49" s="98" t="str">
        <f t="shared" si="18"/>
        <v/>
      </c>
    </row>
    <row r="50" spans="3:30" x14ac:dyDescent="0.3">
      <c r="C50" s="91" cm="1">
        <f t="array" ref="C50">IF(C49=-1,-1,
    IF(C49&lt;Income_max_row, C49+1,
      IF(C49=Income_max_row, income_total_row,
       IF(C49=income_total_row, "/1",
                     IF(C49="/1", expenses_header_row,
                        IF(C49&lt;expenses_max_row,C49+1,
                             IF(C49=expenses_max_row, expenses_total_row,
                                          IF(C49=expenses_total_row, "/2",
                                                  IF(C49="/2", savings_header_row,
                                                               IF(C49&lt;savings_max_row, C49+1,
                                                                    IF(C49=savings_max_row,savings_total_row, -1)))))))))))</f>
        <v>-1</v>
      </c>
      <c r="D50" s="92">
        <f t="shared" si="0"/>
        <v>-1</v>
      </c>
      <c r="E50" s="91" t="b">
        <v>1</v>
      </c>
      <c r="F50">
        <f t="shared" si="1"/>
        <v>0</v>
      </c>
      <c r="G50" cm="1">
        <f t="array" ref="G50">1*OR(row_id=income_total_row, row_id=expenses_total_row,row_id=savings_total_row)</f>
        <v>0</v>
      </c>
      <c r="H50" s="92">
        <f t="shared" si="2"/>
        <v>1</v>
      </c>
      <c r="I50" s="91" t="str" cm="1">
        <f t="array" ref="I50">IFERROR(INDEX('Budget planning'!$C:$C,header_row_id),"")</f>
        <v/>
      </c>
      <c r="J50" t="str" cm="1">
        <f t="array" ref="J50">IFERROR(INDEX('Budget planning'!$C:$C,row_id),"")</f>
        <v/>
      </c>
      <c r="K50" s="72" t="str" cm="1">
        <f t="array" ref="K50">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50" s="94" t="str" cm="1">
        <f t="array" ref="L50">IF(OR(is_header, _is_empty), "",
     INDEX('Budget planning'!$E:$DY, row_id,
        MATCH(IF(selected_period="Total Year", selected_year, DATE(selected_year, selected_period, 1)), 'Budget planning'!$E$10:$DY$10, 0) ))</f>
        <v/>
      </c>
      <c r="M50" s="91" t="str" cm="1">
        <f t="array" ref="M50">IF(is_cat,
          IF(header_row_id=Income_header_row, MATCH(income_min_row,$C:$C, 0),
            IF(header_row_id=expenses_header_row, MATCH(expenses_min_row,$C:$C, 0),
                  IF(header_row_id=savings_header_row, MATCH(savings_min_row,$C:$C, 0), ""))), "")</f>
        <v/>
      </c>
      <c r="N50" s="92" t="str" cm="1">
        <f t="array" ref="N50">IF(is_cat,
          IF(header_row_id=Income_header_row, MATCH(Income_max_row,$C:$C, 0),
            IF(header_row_id=expenses_header_row, MATCH(expenses_max_row,$C:$C, 0),
                  IF(header_row_id=savings_header_row, MATCH(savings_max_row,$C:$C, 0), ""))), "")</f>
        <v/>
      </c>
      <c r="O50" s="91" t="str">
        <f t="shared" si="3"/>
        <v/>
      </c>
      <c r="P50" t="str">
        <f t="shared" ca="1" si="4"/>
        <v/>
      </c>
      <c r="Q50" t="str">
        <f t="shared" si="5"/>
        <v/>
      </c>
      <c r="R50" s="92" t="str">
        <f t="shared" ca="1" si="6"/>
        <v/>
      </c>
      <c r="S50" s="91" t="str">
        <f t="shared" si="7"/>
        <v/>
      </c>
      <c r="T50" t="str">
        <f t="shared" si="8"/>
        <v/>
      </c>
      <c r="U50" t="str">
        <f t="shared" ca="1" si="9"/>
        <v/>
      </c>
      <c r="V50" t="str">
        <f t="shared" si="10"/>
        <v/>
      </c>
      <c r="W50" s="92" t="str">
        <f t="shared" ca="1" si="11"/>
        <v/>
      </c>
      <c r="X50" s="96">
        <f t="shared" si="12"/>
        <v>-1</v>
      </c>
      <c r="Y50" s="97" t="str">
        <f t="shared" si="13"/>
        <v/>
      </c>
      <c r="Z50" s="98" t="str">
        <f t="shared" si="14"/>
        <v/>
      </c>
      <c r="AA50" s="98" t="str">
        <f t="shared" si="15"/>
        <v/>
      </c>
      <c r="AB50" s="99" t="str">
        <f t="shared" si="16"/>
        <v/>
      </c>
      <c r="AC50" s="98" t="str">
        <f t="shared" si="17"/>
        <v/>
      </c>
      <c r="AD50" s="98" t="str">
        <f t="shared" si="18"/>
        <v/>
      </c>
    </row>
    <row r="51" spans="3:30" x14ac:dyDescent="0.3">
      <c r="C51" s="91" cm="1">
        <f t="array" ref="C51">IF(C50=-1,-1,
    IF(C50&lt;Income_max_row, C50+1,
      IF(C50=Income_max_row, income_total_row,
       IF(C50=income_total_row, "/1",
                     IF(C50="/1", expenses_header_row,
                        IF(C50&lt;expenses_max_row,C50+1,
                             IF(C50=expenses_max_row, expenses_total_row,
                                          IF(C50=expenses_total_row, "/2",
                                                  IF(C50="/2", savings_header_row,
                                                               IF(C50&lt;savings_max_row, C50+1,
                                                                    IF(C50=savings_max_row,savings_total_row, -1)))))))))))</f>
        <v>-1</v>
      </c>
      <c r="D51" s="92">
        <f t="shared" si="0"/>
        <v>-1</v>
      </c>
      <c r="E51" s="91" t="b">
        <v>1</v>
      </c>
      <c r="F51">
        <f t="shared" si="1"/>
        <v>0</v>
      </c>
      <c r="G51" cm="1">
        <f t="array" ref="G51">1*OR(row_id=income_total_row, row_id=expenses_total_row,row_id=savings_total_row)</f>
        <v>0</v>
      </c>
      <c r="H51" s="92">
        <f t="shared" si="2"/>
        <v>1</v>
      </c>
      <c r="I51" s="91" t="str" cm="1">
        <f t="array" ref="I51">IFERROR(INDEX('Budget planning'!$C:$C,header_row_id),"")</f>
        <v/>
      </c>
      <c r="J51" t="str" cm="1">
        <f t="array" ref="J51">IFERROR(INDEX('Budget planning'!$C:$C,row_id),"")</f>
        <v/>
      </c>
      <c r="K51" s="72" t="str" cm="1">
        <f t="array" ref="K51">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51" s="94" t="str" cm="1">
        <f t="array" ref="L51">IF(OR(is_header, _is_empty), "",
     INDEX('Budget planning'!$E:$DY, row_id,
        MATCH(IF(selected_period="Total Year", selected_year, DATE(selected_year, selected_period, 1)), 'Budget planning'!$E$10:$DY$10, 0) ))</f>
        <v/>
      </c>
      <c r="M51" s="91" t="str" cm="1">
        <f t="array" ref="M51">IF(is_cat,
          IF(header_row_id=Income_header_row, MATCH(income_min_row,$C:$C, 0),
            IF(header_row_id=expenses_header_row, MATCH(expenses_min_row,$C:$C, 0),
                  IF(header_row_id=savings_header_row, MATCH(savings_min_row,$C:$C, 0), ""))), "")</f>
        <v/>
      </c>
      <c r="N51" s="92" t="str" cm="1">
        <f t="array" ref="N51">IF(is_cat,
          IF(header_row_id=Income_header_row, MATCH(Income_max_row,$C:$C, 0),
            IF(header_row_id=expenses_header_row, MATCH(expenses_max_row,$C:$C, 0),
                  IF(header_row_id=savings_header_row, MATCH(savings_max_row,$C:$C, 0), ""))), "")</f>
        <v/>
      </c>
      <c r="O51" s="91" t="str">
        <f t="shared" si="3"/>
        <v/>
      </c>
      <c r="P51" t="str">
        <f t="shared" ca="1" si="4"/>
        <v/>
      </c>
      <c r="Q51" t="str">
        <f t="shared" si="5"/>
        <v/>
      </c>
      <c r="R51" s="92" t="str">
        <f t="shared" ca="1" si="6"/>
        <v/>
      </c>
      <c r="S51" s="91" t="str">
        <f t="shared" si="7"/>
        <v/>
      </c>
      <c r="T51" t="str">
        <f t="shared" si="8"/>
        <v/>
      </c>
      <c r="U51" t="str">
        <f t="shared" ca="1" si="9"/>
        <v/>
      </c>
      <c r="V51" t="str">
        <f t="shared" si="10"/>
        <v/>
      </c>
      <c r="W51" s="92" t="str">
        <f t="shared" ca="1" si="11"/>
        <v/>
      </c>
      <c r="X51" s="96">
        <f t="shared" si="12"/>
        <v>-1</v>
      </c>
      <c r="Y51" s="97" t="str">
        <f t="shared" si="13"/>
        <v/>
      </c>
      <c r="Z51" s="98" t="str">
        <f t="shared" si="14"/>
        <v/>
      </c>
      <c r="AA51" s="98" t="str">
        <f t="shared" si="15"/>
        <v/>
      </c>
      <c r="AB51" s="99" t="str">
        <f t="shared" si="16"/>
        <v/>
      </c>
      <c r="AC51" s="98" t="str">
        <f t="shared" si="17"/>
        <v/>
      </c>
      <c r="AD51" s="98" t="str">
        <f t="shared" si="18"/>
        <v/>
      </c>
    </row>
    <row r="52" spans="3:30" x14ac:dyDescent="0.3">
      <c r="C52" s="91" cm="1">
        <f t="array" ref="C52">IF(C51=-1,-1,
    IF(C51&lt;Income_max_row, C51+1,
      IF(C51=Income_max_row, income_total_row,
       IF(C51=income_total_row, "/1",
                     IF(C51="/1", expenses_header_row,
                        IF(C51&lt;expenses_max_row,C51+1,
                             IF(C51=expenses_max_row, expenses_total_row,
                                          IF(C51=expenses_total_row, "/2",
                                                  IF(C51="/2", savings_header_row,
                                                               IF(C51&lt;savings_max_row, C51+1,
                                                                    IF(C51=savings_max_row,savings_total_row, -1)))))))))))</f>
        <v>-1</v>
      </c>
      <c r="D52" s="92">
        <f t="shared" si="0"/>
        <v>-1</v>
      </c>
      <c r="E52" s="91" t="b">
        <v>0</v>
      </c>
      <c r="F52">
        <f t="shared" si="1"/>
        <v>0</v>
      </c>
      <c r="G52" cm="1">
        <f t="array" ref="G52">1*OR(row_id=income_total_row, row_id=expenses_total_row,row_id=savings_total_row)</f>
        <v>0</v>
      </c>
      <c r="H52" s="92">
        <f t="shared" si="2"/>
        <v>1</v>
      </c>
      <c r="I52" s="91" t="str" cm="1">
        <f t="array" ref="I52">IFERROR(INDEX('Budget planning'!$C:$C,header_row_id),"")</f>
        <v/>
      </c>
      <c r="J52" t="str" cm="1">
        <f t="array" ref="J52">IFERROR(INDEX('Budget planning'!$C:$C,row_id),"")</f>
        <v/>
      </c>
      <c r="K52" s="72" t="str" cm="1">
        <f t="array" ref="K52">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52" s="94" t="str" cm="1">
        <f t="array" ref="L52">IF(OR(is_header, _is_empty), "",
     INDEX('Budget planning'!$E:$DY, row_id,
        MATCH(IF(selected_period="Total Year", selected_year, DATE(selected_year, selected_period, 1)), 'Budget planning'!$E$10:$DY$10, 0) ))</f>
        <v/>
      </c>
      <c r="M52" s="91" t="str" cm="1">
        <f t="array" ref="M52">IF(is_cat,
          IF(header_row_id=Income_header_row, MATCH(income_min_row,$C:$C, 0),
            IF(header_row_id=expenses_header_row, MATCH(expenses_min_row,$C:$C, 0),
                  IF(header_row_id=savings_header_row, MATCH(savings_min_row,$C:$C, 0), ""))), "")</f>
        <v/>
      </c>
      <c r="N52" s="92" t="str" cm="1">
        <f t="array" ref="N52">IF(is_cat,
          IF(header_row_id=Income_header_row, MATCH(Income_max_row,$C:$C, 0),
            IF(header_row_id=expenses_header_row, MATCH(expenses_max_row,$C:$C, 0),
                  IF(header_row_id=savings_header_row, MATCH(savings_max_row,$C:$C, 0), ""))), "")</f>
        <v/>
      </c>
      <c r="O52" s="91" t="str">
        <f t="shared" si="3"/>
        <v/>
      </c>
      <c r="P52" t="str">
        <f t="shared" ca="1" si="4"/>
        <v/>
      </c>
      <c r="Q52" t="str">
        <f t="shared" si="5"/>
        <v/>
      </c>
      <c r="R52" s="92" t="str">
        <f t="shared" ca="1" si="6"/>
        <v/>
      </c>
      <c r="S52" s="91" t="str">
        <f t="shared" si="7"/>
        <v/>
      </c>
      <c r="T52" t="str">
        <f t="shared" si="8"/>
        <v/>
      </c>
      <c r="U52" t="str">
        <f t="shared" ca="1" si="9"/>
        <v/>
      </c>
      <c r="V52" t="str">
        <f t="shared" si="10"/>
        <v/>
      </c>
      <c r="W52" s="92" t="str">
        <f t="shared" ca="1" si="11"/>
        <v/>
      </c>
      <c r="X52" s="96">
        <f t="shared" si="12"/>
        <v>-1</v>
      </c>
      <c r="Y52" s="97" t="str">
        <f t="shared" si="13"/>
        <v/>
      </c>
      <c r="Z52" s="98" t="str">
        <f t="shared" si="14"/>
        <v/>
      </c>
      <c r="AA52" s="98" t="str">
        <f t="shared" si="15"/>
        <v/>
      </c>
      <c r="AB52" s="99" t="str">
        <f t="shared" si="16"/>
        <v/>
      </c>
      <c r="AC52" s="98" t="str">
        <f t="shared" si="17"/>
        <v/>
      </c>
      <c r="AD52" s="98" t="str">
        <f t="shared" si="18"/>
        <v/>
      </c>
    </row>
    <row r="53" spans="3:30" x14ac:dyDescent="0.3">
      <c r="C53" s="91" cm="1">
        <f t="array" ref="C53">IF(C52=-1,-1,
    IF(C52&lt;Income_max_row, C52+1,
      IF(C52=Income_max_row, income_total_row,
       IF(C52=income_total_row, "/1",
                     IF(C52="/1", expenses_header_row,
                        IF(C52&lt;expenses_max_row,C52+1,
                             IF(C52=expenses_max_row, expenses_total_row,
                                          IF(C52=expenses_total_row, "/2",
                                                  IF(C52="/2", savings_header_row,
                                                               IF(C52&lt;savings_max_row, C52+1,
                                                                    IF(C52=savings_max_row,savings_total_row, -1)))))))))))</f>
        <v>-1</v>
      </c>
      <c r="D53" s="92">
        <f t="shared" si="0"/>
        <v>-1</v>
      </c>
      <c r="E53" s="91" cm="1">
        <f t="array" ref="E53">1*OR(row_id=Income_header_row,row_id=expenses_header_row,row_id=savings_header_row)</f>
        <v>0</v>
      </c>
      <c r="F53">
        <f t="shared" si="1"/>
        <v>0</v>
      </c>
      <c r="G53" cm="1">
        <f t="array" ref="G53">1*OR(row_id=income_total_row, row_id=expenses_total_row,row_id=savings_total_row)</f>
        <v>0</v>
      </c>
      <c r="H53" s="92">
        <f t="shared" si="2"/>
        <v>1</v>
      </c>
      <c r="I53" s="91" t="str" cm="1">
        <f t="array" ref="I53">IFERROR(INDEX('Budget planning'!$C:$C,header_row_id),"")</f>
        <v/>
      </c>
      <c r="J53" t="str" cm="1">
        <f t="array" ref="J53">IFERROR(INDEX('Budget planning'!$C:$C,row_id),"")</f>
        <v/>
      </c>
      <c r="K53" s="72" t="str" cm="1">
        <f t="array" ref="K53">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53" s="94" t="str" cm="1">
        <f t="array" ref="L53">IF(OR(is_header, _is_empty), "",
     INDEX('Budget planning'!$E:$DY, row_id,
        MATCH(IF(selected_period="Total Year", selected_year, DATE(selected_year, selected_period, 1)), 'Budget planning'!$E$10:$DY$10, 0) ))</f>
        <v/>
      </c>
      <c r="M53" s="91" t="str" cm="1">
        <f t="array" ref="M53">IF(is_cat,
          IF(header_row_id=Income_header_row, MATCH(income_min_row,$C:$C, 0),
            IF(header_row_id=expenses_header_row, MATCH(expenses_min_row,$C:$C, 0),
                  IF(header_row_id=savings_header_row, MATCH(savings_min_row,$C:$C, 0), ""))), "")</f>
        <v/>
      </c>
      <c r="N53" s="92" t="str" cm="1">
        <f t="array" ref="N53">IF(is_cat,
          IF(header_row_id=Income_header_row, MATCH(Income_max_row,$C:$C, 0),
            IF(header_row_id=expenses_header_row, MATCH(expenses_max_row,$C:$C, 0),
                  IF(header_row_id=savings_header_row, MATCH(savings_max_row,$C:$C, 0), ""))), "")</f>
        <v/>
      </c>
      <c r="O53" s="91" t="str">
        <f t="shared" si="3"/>
        <v/>
      </c>
      <c r="P53" t="str">
        <f t="shared" ca="1" si="4"/>
        <v/>
      </c>
      <c r="Q53" t="str">
        <f t="shared" si="5"/>
        <v/>
      </c>
      <c r="R53" s="92" t="str">
        <f t="shared" ca="1" si="6"/>
        <v/>
      </c>
      <c r="S53" s="91" t="str">
        <f t="shared" si="7"/>
        <v/>
      </c>
      <c r="T53" t="str">
        <f t="shared" si="8"/>
        <v/>
      </c>
      <c r="U53" t="str">
        <f t="shared" ca="1" si="9"/>
        <v/>
      </c>
      <c r="V53" t="str">
        <f t="shared" si="10"/>
        <v/>
      </c>
      <c r="W53" s="92" t="str">
        <f t="shared" ca="1" si="11"/>
        <v/>
      </c>
      <c r="X53" s="96">
        <f t="shared" si="12"/>
        <v>-1</v>
      </c>
      <c r="Y53" s="97" t="str">
        <f t="shared" si="13"/>
        <v/>
      </c>
      <c r="Z53" s="98" t="str">
        <f t="shared" si="14"/>
        <v/>
      </c>
      <c r="AA53" s="98" t="str">
        <f t="shared" si="15"/>
        <v/>
      </c>
      <c r="AB53" s="99" t="str">
        <f t="shared" si="16"/>
        <v/>
      </c>
      <c r="AC53" s="98" t="str">
        <f t="shared" si="17"/>
        <v/>
      </c>
      <c r="AD53" s="98" t="str">
        <f t="shared" si="18"/>
        <v/>
      </c>
    </row>
    <row r="54" spans="3:30" x14ac:dyDescent="0.3">
      <c r="C54" s="91" cm="1">
        <f t="array" ref="C54">IF(C53=-1,-1,
    IF(C53&lt;Income_max_row, C53+1,
      IF(C53=Income_max_row, income_total_row,
       IF(C53=income_total_row, "/1",
                     IF(C53="/1", expenses_header_row,
                        IF(C53&lt;expenses_max_row,C53+1,
                             IF(C53=expenses_max_row, expenses_total_row,
                                          IF(C53=expenses_total_row, "/2",
                                                  IF(C53="/2", savings_header_row,
                                                               IF(C53&lt;savings_max_row, C53+1,
                                                                    IF(C53=savings_max_row,savings_total_row, -1)))))))))))</f>
        <v>-1</v>
      </c>
      <c r="D54" s="92">
        <f t="shared" si="0"/>
        <v>-1</v>
      </c>
      <c r="E54" s="91" cm="1">
        <f t="array" ref="E54">1*OR(row_id=Income_header_row,row_id=expenses_header_row,row_id=savings_header_row)</f>
        <v>0</v>
      </c>
      <c r="F54">
        <f t="shared" si="1"/>
        <v>0</v>
      </c>
      <c r="G54" cm="1">
        <f t="array" ref="G54">1*OR(row_id=income_total_row, row_id=expenses_total_row,row_id=savings_total_row)</f>
        <v>0</v>
      </c>
      <c r="H54" s="92">
        <f t="shared" si="2"/>
        <v>1</v>
      </c>
      <c r="I54" s="91" t="str" cm="1">
        <f t="array" ref="I54">IFERROR(INDEX('Budget planning'!$C:$C,header_row_id),"")</f>
        <v/>
      </c>
      <c r="J54" t="str" cm="1">
        <f t="array" ref="J54">IFERROR(INDEX('Budget planning'!$C:$C,row_id),"")</f>
        <v/>
      </c>
      <c r="K54" s="72" t="str" cm="1">
        <f t="array" ref="K54">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54" s="94" t="str" cm="1">
        <f t="array" ref="L54">IF(OR(is_header, _is_empty), "",
     INDEX('Budget planning'!$E:$DY, row_id,
        MATCH(IF(selected_period="Total Year", selected_year, DATE(selected_year, selected_period, 1)), 'Budget planning'!$E$10:$DY$10, 0) ))</f>
        <v/>
      </c>
      <c r="M54" s="91" t="str" cm="1">
        <f t="array" ref="M54">IF(is_cat,
          IF(header_row_id=Income_header_row, MATCH(income_min_row,$C:$C, 0),
            IF(header_row_id=expenses_header_row, MATCH(expenses_min_row,$C:$C, 0),
                  IF(header_row_id=savings_header_row, MATCH(savings_min_row,$C:$C, 0), ""))), "")</f>
        <v/>
      </c>
      <c r="N54" s="92" t="str" cm="1">
        <f t="array" ref="N54">IF(is_cat,
          IF(header_row_id=Income_header_row, MATCH(Income_max_row,$C:$C, 0),
            IF(header_row_id=expenses_header_row, MATCH(expenses_max_row,$C:$C, 0),
                  IF(header_row_id=savings_header_row, MATCH(savings_max_row,$C:$C, 0), ""))), "")</f>
        <v/>
      </c>
      <c r="O54" s="91" t="str">
        <f t="shared" si="3"/>
        <v/>
      </c>
      <c r="P54" t="str">
        <f t="shared" ca="1" si="4"/>
        <v/>
      </c>
      <c r="Q54" t="str">
        <f t="shared" si="5"/>
        <v/>
      </c>
      <c r="R54" s="92" t="str">
        <f t="shared" ca="1" si="6"/>
        <v/>
      </c>
      <c r="S54" s="91" t="str">
        <f t="shared" si="7"/>
        <v/>
      </c>
      <c r="T54" t="str">
        <f t="shared" si="8"/>
        <v/>
      </c>
      <c r="U54" t="str">
        <f t="shared" ca="1" si="9"/>
        <v/>
      </c>
      <c r="V54" t="str">
        <f t="shared" si="10"/>
        <v/>
      </c>
      <c r="W54" s="92" t="str">
        <f t="shared" ca="1" si="11"/>
        <v/>
      </c>
      <c r="X54" s="96">
        <f t="shared" si="12"/>
        <v>-1</v>
      </c>
      <c r="Y54" s="97" t="str">
        <f t="shared" si="13"/>
        <v/>
      </c>
      <c r="Z54" s="98" t="str">
        <f t="shared" si="14"/>
        <v/>
      </c>
      <c r="AA54" s="98" t="str">
        <f t="shared" si="15"/>
        <v/>
      </c>
      <c r="AB54" s="99" t="str">
        <f t="shared" si="16"/>
        <v/>
      </c>
      <c r="AC54" s="98" t="str">
        <f t="shared" si="17"/>
        <v/>
      </c>
      <c r="AD54" s="98" t="str">
        <f t="shared" si="18"/>
        <v/>
      </c>
    </row>
    <row r="55" spans="3:30" x14ac:dyDescent="0.3">
      <c r="C55" s="91" cm="1">
        <f t="array" ref="C55">IF(C54=-1,-1,
    IF(C54&lt;Income_max_row, C54+1,
      IF(C54=Income_max_row, income_total_row,
       IF(C54=income_total_row, "/1",
                     IF(C54="/1", expenses_header_row,
                        IF(C54&lt;expenses_max_row,C54+1,
                             IF(C54=expenses_max_row, expenses_total_row,
                                          IF(C54=expenses_total_row, "/2",
                                                  IF(C54="/2", savings_header_row,
                                                               IF(C54&lt;savings_max_row, C54+1,
                                                                    IF(C54=savings_max_row,savings_total_row, -1)))))))))))</f>
        <v>-1</v>
      </c>
      <c r="D55" s="92">
        <f t="shared" si="0"/>
        <v>-1</v>
      </c>
      <c r="E55" s="91" cm="1">
        <f t="array" ref="E55">1*OR(row_id=Income_header_row,row_id=expenses_header_row,row_id=savings_header_row)</f>
        <v>0</v>
      </c>
      <c r="F55">
        <f t="shared" si="1"/>
        <v>0</v>
      </c>
      <c r="G55" cm="1">
        <f t="array" ref="G55">1*OR(row_id=income_total_row, row_id=expenses_total_row,row_id=savings_total_row)</f>
        <v>0</v>
      </c>
      <c r="H55" s="92">
        <f t="shared" si="2"/>
        <v>1</v>
      </c>
      <c r="I55" s="91" t="str" cm="1">
        <f t="array" ref="I55">IFERROR(INDEX('Budget planning'!$C:$C,header_row_id),"")</f>
        <v/>
      </c>
      <c r="J55" t="str" cm="1">
        <f t="array" ref="J55">IFERROR(INDEX('Budget planning'!$C:$C,row_id),"")</f>
        <v/>
      </c>
      <c r="K55" s="72" t="str" cm="1">
        <f t="array" ref="K55">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55" s="94" t="str" cm="1">
        <f t="array" ref="L55">IF(OR(is_header, _is_empty), "",
     INDEX('Budget planning'!$E:$DY, row_id,
        MATCH(IF(selected_period="Total Year", selected_year, DATE(selected_year, selected_period, 1)), 'Budget planning'!$E$10:$DY$10, 0) ))</f>
        <v/>
      </c>
      <c r="M55" s="91" t="str" cm="1">
        <f t="array" ref="M55">IF(is_cat,
          IF(header_row_id=Income_header_row, MATCH(income_min_row,$C:$C, 0),
            IF(header_row_id=expenses_header_row, MATCH(expenses_min_row,$C:$C, 0),
                  IF(header_row_id=savings_header_row, MATCH(savings_min_row,$C:$C, 0), ""))), "")</f>
        <v/>
      </c>
      <c r="N55" s="92" t="str" cm="1">
        <f t="array" ref="N55">IF(is_cat,
          IF(header_row_id=Income_header_row, MATCH(Income_max_row,$C:$C, 0),
            IF(header_row_id=expenses_header_row, MATCH(expenses_max_row,$C:$C, 0),
                  IF(header_row_id=savings_header_row, MATCH(savings_max_row,$C:$C, 0), ""))), "")</f>
        <v/>
      </c>
      <c r="O55" s="91" t="str">
        <f t="shared" si="3"/>
        <v/>
      </c>
      <c r="P55" t="str">
        <f t="shared" ca="1" si="4"/>
        <v/>
      </c>
      <c r="Q55" t="str">
        <f t="shared" si="5"/>
        <v/>
      </c>
      <c r="R55" s="92" t="str">
        <f t="shared" ca="1" si="6"/>
        <v/>
      </c>
      <c r="S55" s="91" t="str">
        <f t="shared" si="7"/>
        <v/>
      </c>
      <c r="T55" t="str">
        <f t="shared" si="8"/>
        <v/>
      </c>
      <c r="U55" t="str">
        <f t="shared" ca="1" si="9"/>
        <v/>
      </c>
      <c r="V55" t="str">
        <f t="shared" si="10"/>
        <v/>
      </c>
      <c r="W55" s="92" t="str">
        <f t="shared" ca="1" si="11"/>
        <v/>
      </c>
      <c r="X55" s="96">
        <f t="shared" si="12"/>
        <v>-1</v>
      </c>
      <c r="Y55" s="97" t="str">
        <f t="shared" si="13"/>
        <v/>
      </c>
      <c r="Z55" s="98" t="str">
        <f t="shared" si="14"/>
        <v/>
      </c>
      <c r="AA55" s="98" t="str">
        <f t="shared" si="15"/>
        <v/>
      </c>
      <c r="AB55" s="99" t="str">
        <f t="shared" si="16"/>
        <v/>
      </c>
      <c r="AC55" s="98" t="str">
        <f t="shared" si="17"/>
        <v/>
      </c>
      <c r="AD55" s="98" t="str">
        <f t="shared" si="18"/>
        <v/>
      </c>
    </row>
    <row r="56" spans="3:30" x14ac:dyDescent="0.3">
      <c r="C56" s="91" cm="1">
        <f t="array" ref="C56">IF(C55=-1,-1,
    IF(C55&lt;Income_max_row, C55+1,
      IF(C55=Income_max_row, income_total_row,
       IF(C55=income_total_row, "/1",
                     IF(C55="/1", expenses_header_row,
                        IF(C55&lt;expenses_max_row,C55+1,
                             IF(C55=expenses_max_row, expenses_total_row,
                                          IF(C55=expenses_total_row, "/2",
                                                  IF(C55="/2", savings_header_row,
                                                               IF(C55&lt;savings_max_row, C55+1,
                                                                    IF(C55=savings_max_row,savings_total_row, -1)))))))))))</f>
        <v>-1</v>
      </c>
      <c r="D56" s="92">
        <f t="shared" si="0"/>
        <v>-1</v>
      </c>
      <c r="E56" s="91" cm="1">
        <f t="array" ref="E56">1*OR(row_id=Income_header_row,row_id=expenses_header_row,row_id=savings_header_row)</f>
        <v>0</v>
      </c>
      <c r="F56">
        <f t="shared" si="1"/>
        <v>0</v>
      </c>
      <c r="G56" cm="1">
        <f t="array" ref="G56">1*OR(row_id=income_total_row, row_id=expenses_total_row,row_id=savings_total_row)</f>
        <v>0</v>
      </c>
      <c r="H56" s="92">
        <f t="shared" si="2"/>
        <v>1</v>
      </c>
      <c r="I56" s="91" t="str" cm="1">
        <f t="array" ref="I56">IFERROR(INDEX('Budget planning'!$C:$C,header_row_id),"")</f>
        <v/>
      </c>
      <c r="K56" s="72" t="str" cm="1">
        <f t="array" ref="K56">IF(OR(is_header, _is_empty), "",
        IF(is_total,
         IF(selected_period="Total Year",
         SUM( Tracking[Amount] * (Tracking[Type]=type) * (YEAR(Tracking[Effective Date])=selected_year)),
            SUM( Tracking[Amount] * (Tracking[Type]=type) * (YEAR(Tracking[Effective Date])=selected_year) * (MONTH(Tracking[Effective Date])=selected_period))),
          IF(selected_period="Total Year",
           SUM( Tracking[Amount] * (Tracking[Type]=type) *(Tracking[Category]=item) * (YEAR(Tracking[Effective Date])=selected_year)),
            SUM( Tracking[Amount] * (Tracking[Type]=type) * (Tracking[Category]=item) * (YEAR(Tracking[Effective Date])=selected_year)* (MONTH(Tracking[Effective Date])=selected_period)))
               )
        )</f>
        <v/>
      </c>
      <c r="L56" s="94" t="str" cm="1">
        <f t="array" ref="L56">IF(OR(is_header, _is_empty), "",
     INDEX('Budget planning'!$E:$DY, row_id,
        MATCH(IF(selected_period="Total Year", selected_year, DATE(selected_year, selected_period, 1)), 'Budget planning'!$E$10:$DY$10, 0) ))</f>
        <v/>
      </c>
      <c r="M56" s="91" t="str" cm="1">
        <f t="array" ref="M56">IF(is_cat,
          IF(header_row_id=Income_header_row, MATCH(income_min_row,$C:$C, 0),
            IF(header_row_id=expenses_header_row, MATCH(expenses_min_row,$C:$C, 0),
                  IF(header_row_id=savings_header_row, MATCH(savings_min_row,$C:$C, 0), ""))), "")</f>
        <v/>
      </c>
      <c r="N56" s="92" t="str" cm="1">
        <f t="array" ref="N56">IF(is_cat,
          IF(header_row_id=Income_header_row, MATCH(Income_max_row,$C:$C, 0),
            IF(header_row_id=expenses_header_row, MATCH(expenses_max_row,$C:$C, 0),
                  IF(header_row_id=savings_header_row, MATCH(savings_max_row,$C:$C, 0), ""))), "")</f>
        <v/>
      </c>
      <c r="O56" s="91" t="str">
        <f t="shared" si="3"/>
        <v/>
      </c>
      <c r="P56" t="str">
        <f t="shared" ca="1" si="4"/>
        <v/>
      </c>
      <c r="Q56" t="str">
        <f t="shared" si="5"/>
        <v/>
      </c>
      <c r="R56" s="92" t="str">
        <f t="shared" ca="1" si="6"/>
        <v/>
      </c>
      <c r="S56" s="91" t="str">
        <f t="shared" si="7"/>
        <v/>
      </c>
      <c r="T56" t="str">
        <f t="shared" si="8"/>
        <v/>
      </c>
      <c r="U56" t="str">
        <f t="shared" ca="1" si="9"/>
        <v/>
      </c>
      <c r="V56" t="str">
        <f t="shared" si="10"/>
        <v/>
      </c>
      <c r="W56" s="92" t="str">
        <f t="shared" ca="1" si="11"/>
        <v/>
      </c>
      <c r="X56" s="96">
        <f t="shared" si="12"/>
        <v>-1</v>
      </c>
      <c r="Y56" s="97" t="str">
        <f t="shared" si="13"/>
        <v/>
      </c>
      <c r="Z56" s="98" t="str">
        <f t="shared" si="14"/>
        <v/>
      </c>
      <c r="AA56" s="98" t="str">
        <f t="shared" si="15"/>
        <v/>
      </c>
      <c r="AB56" s="99" t="str">
        <f t="shared" si="16"/>
        <v/>
      </c>
      <c r="AC56" s="98" t="str">
        <f t="shared" si="17"/>
        <v/>
      </c>
      <c r="AD56" s="98" t="str">
        <f t="shared" si="18"/>
        <v/>
      </c>
    </row>
  </sheetData>
  <mergeCells count="8">
    <mergeCell ref="Y11:AD11"/>
    <mergeCell ref="AF11:AR11"/>
    <mergeCell ref="AQ4:AR4"/>
    <mergeCell ref="AQ5:AR5"/>
    <mergeCell ref="AN5:AP5"/>
    <mergeCell ref="AQ7:AR7"/>
    <mergeCell ref="AN8:AP8"/>
    <mergeCell ref="AQ8:AR8"/>
  </mergeCells>
  <conditionalFormatting sqref="Y13:AD56">
    <cfRule type="expression" dxfId="24" priority="19" stopIfTrue="1">
      <formula>is_total</formula>
    </cfRule>
    <cfRule type="expression" dxfId="23" priority="20" stopIfTrue="1">
      <formula>row_id=Income_header_row</formula>
    </cfRule>
    <cfRule type="expression" dxfId="22" priority="21" stopIfTrue="1">
      <formula>row_id=expenses_header_row</formula>
    </cfRule>
    <cfRule type="expression" dxfId="21" priority="28" stopIfTrue="1">
      <formula>row_id=savings_header_row</formula>
    </cfRule>
  </conditionalFormatting>
  <conditionalFormatting sqref="AB13:AB56">
    <cfRule type="expression" dxfId="20" priority="25" stopIfTrue="1">
      <formula>AND(OR(is_cat, is_total), out_budget &gt; 0, out_percentage_completed &gt;= 1, header_row_id=Income_header_row)</formula>
    </cfRule>
    <cfRule type="expression" dxfId="19" priority="26" stopIfTrue="1">
      <formula>AND(OR(is_cat, is_total), out_budget &gt; 0, out_percentage_completed &gt;= 1, header_row_id=expenses_header_row)</formula>
    </cfRule>
    <cfRule type="expression" dxfId="18" priority="27" stopIfTrue="1">
      <formula>AND(OR(is_cat, is_total), out_budget &gt; 0, out_percentage_completed &gt;= 1, header_row_id=savings_header_row)</formula>
    </cfRule>
    <cfRule type="dataBar" priority="29">
      <dataBar>
        <cfvo type="num" val="0"/>
        <cfvo type="num" val="1"/>
        <color theme="0" tint="-0.14999847407452621"/>
      </dataBar>
      <extLst>
        <ext xmlns:x14="http://schemas.microsoft.com/office/spreadsheetml/2009/9/main" uri="{B025F937-C7B1-47D3-B67F-A62EFF666E3E}">
          <x14:id>{1AEA4386-D356-405E-B2C9-4D384E48FA27}</x14:id>
        </ext>
      </extLst>
    </cfRule>
  </conditionalFormatting>
  <conditionalFormatting sqref="AH16">
    <cfRule type="expression" dxfId="17" priority="13">
      <formula>AI16&lt;&gt;""</formula>
    </cfRule>
  </conditionalFormatting>
  <conditionalFormatting sqref="AH17">
    <cfRule type="expression" dxfId="16" priority="14">
      <formula>AI17&lt;&gt;""</formula>
    </cfRule>
  </conditionalFormatting>
  <conditionalFormatting sqref="AH18">
    <cfRule type="expression" dxfId="15" priority="15">
      <formula>AI18&lt;&gt;""</formula>
    </cfRule>
  </conditionalFormatting>
  <conditionalFormatting sqref="AH19">
    <cfRule type="expression" dxfId="14" priority="16">
      <formula>AI19&lt;&gt;""</formula>
    </cfRule>
  </conditionalFormatting>
  <conditionalFormatting sqref="AH20">
    <cfRule type="expression" dxfId="13" priority="17">
      <formula>AI20&lt;&gt;""</formula>
    </cfRule>
  </conditionalFormatting>
  <conditionalFormatting sqref="AH21">
    <cfRule type="expression" dxfId="12" priority="18">
      <formula>AI21&lt;&gt;""</formula>
    </cfRule>
  </conditionalFormatting>
  <conditionalFormatting sqref="AH29">
    <cfRule type="expression" dxfId="11" priority="7">
      <formula>AI29&lt;&gt;""</formula>
    </cfRule>
  </conditionalFormatting>
  <conditionalFormatting sqref="AH30">
    <cfRule type="expression" dxfId="10" priority="8">
      <formula>AI30&lt;&gt;""</formula>
    </cfRule>
  </conditionalFormatting>
  <conditionalFormatting sqref="AH31">
    <cfRule type="expression" dxfId="9" priority="9">
      <formula>AI31&lt;&gt;""</formula>
    </cfRule>
  </conditionalFormatting>
  <conditionalFormatting sqref="AH32">
    <cfRule type="expression" dxfId="8" priority="10">
      <formula>AI32&lt;&gt;""</formula>
    </cfRule>
  </conditionalFormatting>
  <conditionalFormatting sqref="AH33">
    <cfRule type="expression" dxfId="7" priority="11">
      <formula>AI33&lt;&gt;""</formula>
    </cfRule>
  </conditionalFormatting>
  <conditionalFormatting sqref="AH34">
    <cfRule type="expression" dxfId="6" priority="12">
      <formula>AI34&lt;&gt;""</formula>
    </cfRule>
  </conditionalFormatting>
  <conditionalFormatting sqref="AO29">
    <cfRule type="expression" dxfId="5" priority="1">
      <formula>AP29&lt;&gt;""</formula>
    </cfRule>
  </conditionalFormatting>
  <conditionalFormatting sqref="AO30">
    <cfRule type="expression" dxfId="4" priority="2">
      <formula>AP30&lt;&gt;""</formula>
    </cfRule>
  </conditionalFormatting>
  <conditionalFormatting sqref="AO31">
    <cfRule type="expression" dxfId="3" priority="3">
      <formula>AP31&lt;&gt;""</formula>
    </cfRule>
  </conditionalFormatting>
  <conditionalFormatting sqref="AO32">
    <cfRule type="expression" dxfId="2" priority="4">
      <formula>AP32&lt;&gt;""</formula>
    </cfRule>
  </conditionalFormatting>
  <conditionalFormatting sqref="AO33">
    <cfRule type="expression" dxfId="1" priority="5">
      <formula>AP33&lt;&gt;""</formula>
    </cfRule>
  </conditionalFormatting>
  <conditionalFormatting sqref="AO34">
    <cfRule type="expression" dxfId="0" priority="6">
      <formula>AP34&lt;&gt;""</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5" r:id="rId3" name="Check Box 7">
              <controlPr defaultSize="0" autoFill="0" autoLine="0" autoPict="0">
                <anchor moveWithCells="1">
                  <from>
                    <xdr:col>42</xdr:col>
                    <xdr:colOff>266700</xdr:colOff>
                    <xdr:row>12</xdr:row>
                    <xdr:rowOff>121920</xdr:rowOff>
                  </from>
                  <to>
                    <xdr:col>44</xdr:col>
                    <xdr:colOff>114300</xdr:colOff>
                    <xdr:row>13</xdr:row>
                    <xdr:rowOff>91440</xdr:rowOff>
                  </to>
                </anchor>
              </controlPr>
            </control>
          </mc:Choice>
        </mc:AlternateContent>
        <mc:AlternateContent xmlns:mc="http://schemas.openxmlformats.org/markup-compatibility/2006">
          <mc:Choice Requires="x14">
            <control shapeId="2056" r:id="rId4" name="Check Box 8">
              <controlPr defaultSize="0" autoFill="0" autoLine="0" autoPict="0">
                <anchor moveWithCells="1">
                  <from>
                    <xdr:col>42</xdr:col>
                    <xdr:colOff>266700</xdr:colOff>
                    <xdr:row>14</xdr:row>
                    <xdr:rowOff>45720</xdr:rowOff>
                  </from>
                  <to>
                    <xdr:col>44</xdr:col>
                    <xdr:colOff>251460</xdr:colOff>
                    <xdr:row>15</xdr:row>
                    <xdr:rowOff>7620</xdr:rowOff>
                  </to>
                </anchor>
              </controlPr>
            </control>
          </mc:Choice>
        </mc:AlternateContent>
        <mc:AlternateContent xmlns:mc="http://schemas.openxmlformats.org/markup-compatibility/2006">
          <mc:Choice Requires="x14">
            <control shapeId="2057" r:id="rId5" name="Check Box 9">
              <controlPr defaultSize="0" autoFill="0" autoLine="0" autoPict="0">
                <anchor moveWithCells="1">
                  <from>
                    <xdr:col>42</xdr:col>
                    <xdr:colOff>266700</xdr:colOff>
                    <xdr:row>13</xdr:row>
                    <xdr:rowOff>76200</xdr:rowOff>
                  </from>
                  <to>
                    <xdr:col>44</xdr:col>
                    <xdr:colOff>45720</xdr:colOff>
                    <xdr:row>14</xdr:row>
                    <xdr:rowOff>60960</xdr:rowOff>
                  </to>
                </anchor>
              </controlPr>
            </control>
          </mc:Choice>
        </mc:AlternateContent>
        <mc:AlternateContent xmlns:mc="http://schemas.openxmlformats.org/markup-compatibility/2006">
          <mc:Choice Requires="x14">
            <control shapeId="2058" r:id="rId6" name="Check Box 10">
              <controlPr defaultSize="0" autoFill="0" autoLine="0" autoPict="0">
                <anchor moveWithCells="1">
                  <from>
                    <xdr:col>41</xdr:col>
                    <xdr:colOff>594360</xdr:colOff>
                    <xdr:row>12</xdr:row>
                    <xdr:rowOff>121920</xdr:rowOff>
                  </from>
                  <to>
                    <xdr:col>42</xdr:col>
                    <xdr:colOff>182880</xdr:colOff>
                    <xdr:row>13</xdr:row>
                    <xdr:rowOff>60960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1AEA4386-D356-405E-B2C9-4D384E48FA27}">
            <x14:dataBar minLength="0" maxLength="100" gradient="0">
              <x14:cfvo type="num">
                <xm:f>0</xm:f>
              </x14:cfvo>
              <x14:cfvo type="num">
                <xm:f>1</xm:f>
              </x14:cfvo>
              <x14:negativeFillColor rgb="FFFF0000"/>
              <x14:axisColor rgb="FF000000"/>
            </x14:dataBar>
          </x14:cfRule>
          <xm:sqref>AB13:AB56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747895FB-A5D7-4596-827A-D6C9B9878185}">
          <x14:formula1>
            <xm:f>'Dropdown Data'!$C$8:$C$18</xm:f>
          </x14:formula1>
          <xm:sqref>AQ5:AR5</xm:sqref>
        </x14:dataValidation>
        <x14:dataValidation type="list" allowBlank="1" showInputMessage="1" showErrorMessage="1" xr:uid="{07B8DBDB-CE90-4A63-B488-1502C611A247}">
          <x14:formula1>
            <xm:f>'Dropdown Data'!$E$8:$E$21</xm:f>
          </x14:formula1>
          <xm:sqref>AQ8:AR8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892F1-0982-4712-AB47-0C002B3AE9B6}">
  <dimension ref="A1:AD103"/>
  <sheetViews>
    <sheetView showGridLines="0" topLeftCell="A16" zoomScale="85" zoomScaleNormal="85" workbookViewId="0">
      <selection activeCell="E25" sqref="E25"/>
    </sheetView>
  </sheetViews>
  <sheetFormatPr defaultRowHeight="14.4" x14ac:dyDescent="0.3"/>
  <cols>
    <col min="2" max="2" width="2.21875" customWidth="1"/>
    <col min="3" max="3" width="1.88671875" customWidth="1"/>
    <col min="4" max="4" width="24.21875" customWidth="1"/>
    <col min="5" max="5" width="35.109375" customWidth="1"/>
    <col min="6" max="6" width="1.5546875" customWidth="1"/>
    <col min="7" max="7" width="0.5546875" customWidth="1"/>
    <col min="8" max="8" width="0.21875" customWidth="1"/>
    <col min="9" max="9" width="10.5546875" customWidth="1"/>
    <col min="10" max="10" width="11.88671875" customWidth="1"/>
    <col min="11" max="11" width="24.21875" customWidth="1"/>
    <col min="12" max="12" width="35.109375" customWidth="1"/>
    <col min="13" max="13" width="1.5546875" customWidth="1"/>
    <col min="14" max="14" width="0.5546875" customWidth="1"/>
    <col min="15" max="15" width="0.21875" customWidth="1"/>
    <col min="16" max="16" width="10.5546875" customWidth="1"/>
    <col min="17" max="17" width="11.88671875" customWidth="1"/>
    <col min="18" max="18" width="24.21875" customWidth="1"/>
    <col min="19" max="19" width="30.77734375" customWidth="1"/>
    <col min="20" max="20" width="0.33203125" hidden="1" customWidth="1"/>
    <col min="21" max="21" width="0.44140625" hidden="1" customWidth="1"/>
    <col min="22" max="22" width="0.21875" hidden="1" customWidth="1"/>
    <col min="23" max="23" width="10.5546875" bestFit="1" customWidth="1"/>
    <col min="24" max="24" width="11.5546875" customWidth="1"/>
    <col min="25" max="25" width="31.109375" customWidth="1"/>
    <col min="26" max="26" width="1.21875" hidden="1" customWidth="1"/>
    <col min="27" max="27" width="5.5546875" hidden="1" customWidth="1"/>
    <col min="28" max="28" width="0.21875" hidden="1" customWidth="1"/>
    <col min="29" max="29" width="10.5546875" bestFit="1" customWidth="1"/>
    <col min="30" max="30" width="11.5546875" customWidth="1"/>
  </cols>
  <sheetData>
    <row r="1" spans="1:29" ht="48" customHeight="1" x14ac:dyDescent="0.45">
      <c r="A1" s="65"/>
      <c r="B1" s="69" t="s">
        <v>33</v>
      </c>
      <c r="C1" s="68"/>
      <c r="D1" s="68"/>
      <c r="E1" s="66"/>
      <c r="F1" s="66"/>
      <c r="G1" s="66"/>
      <c r="H1" s="66"/>
      <c r="I1" s="66"/>
      <c r="J1" s="66"/>
      <c r="K1" s="66"/>
      <c r="L1" s="66"/>
      <c r="M1" s="67"/>
      <c r="N1" s="67"/>
      <c r="O1" s="67"/>
      <c r="P1" s="67"/>
      <c r="Q1" s="67"/>
      <c r="R1" s="67"/>
      <c r="S1" s="67"/>
      <c r="T1" s="67"/>
      <c r="U1" s="67"/>
      <c r="V1" s="67"/>
      <c r="W1" s="67"/>
      <c r="X1" s="67"/>
      <c r="Y1" s="67"/>
      <c r="Z1" s="67"/>
      <c r="AA1" s="67"/>
      <c r="AB1" s="67"/>
      <c r="AC1" s="67"/>
    </row>
    <row r="4" spans="1:29" ht="15.6" x14ac:dyDescent="0.3">
      <c r="B4" s="151" t="s">
        <v>34</v>
      </c>
      <c r="C4" s="152"/>
      <c r="D4" s="152"/>
      <c r="E4" s="152"/>
      <c r="F4" s="152"/>
      <c r="G4" s="152"/>
    </row>
    <row r="6" spans="1:29" x14ac:dyDescent="0.3">
      <c r="C6" s="70" t="s">
        <v>35</v>
      </c>
      <c r="E6" s="71" cm="1">
        <f t="array" aca="1" ref="E6" ca="1">current_date</f>
        <v>45568</v>
      </c>
    </row>
    <row r="7" spans="1:29" x14ac:dyDescent="0.3">
      <c r="C7" s="70" t="s">
        <v>36</v>
      </c>
      <c r="E7" s="71">
        <f>MAX(Tracking[Date])</f>
        <v>0</v>
      </c>
    </row>
    <row r="8" spans="1:29" x14ac:dyDescent="0.3">
      <c r="C8" s="70" t="s">
        <v>37</v>
      </c>
      <c r="E8" t="str">
        <f>IF(E7=0,"", "(" &amp; _xlfn.DAYS(E6,E7) &amp; "days ago)")</f>
        <v/>
      </c>
    </row>
    <row r="9" spans="1:29" x14ac:dyDescent="0.3">
      <c r="C9" s="70" t="s">
        <v>38</v>
      </c>
      <c r="E9">
        <f>COUNT(Tracking[Date])</f>
        <v>0</v>
      </c>
    </row>
    <row r="10" spans="1:29" x14ac:dyDescent="0.3">
      <c r="C10" s="70" t="s">
        <v>39</v>
      </c>
      <c r="E10" t="str" cm="1">
        <f t="array" aca="1" ref="E10" ca="1">"(" &amp; SUMPRODUCT(--(YEAR(Tracking[Date])=YEAR(current_date)))  &amp; "this year)"</f>
        <v>(0this year)</v>
      </c>
    </row>
    <row r="11" spans="1:29" x14ac:dyDescent="0.3">
      <c r="C11" s="70" t="s">
        <v>40</v>
      </c>
      <c r="E11" s="72" t="str">
        <f>_xlfn.IFNA(INDEX(Tracking[Balance], MATCH(Calculations!E7,Tracking[Date],0)), "-")</f>
        <v>-</v>
      </c>
    </row>
    <row r="12" spans="1:29" x14ac:dyDescent="0.3">
      <c r="C12" s="70" t="s">
        <v>41</v>
      </c>
      <c r="E12" t="str">
        <f>IF(E11&gt;=0, "of tracked income left to be allocated", "allocated not covered by income")</f>
        <v>of tracked income left to be allocated</v>
      </c>
    </row>
    <row r="15" spans="1:29" ht="15.6" x14ac:dyDescent="0.3">
      <c r="C15" s="151" t="s">
        <v>34</v>
      </c>
      <c r="D15" s="152"/>
      <c r="E15" s="152"/>
      <c r="F15" s="152"/>
      <c r="G15" s="152"/>
      <c r="H15" s="152"/>
    </row>
    <row r="17" spans="3:5" x14ac:dyDescent="0.3">
      <c r="C17" s="70" t="s">
        <v>53</v>
      </c>
      <c r="E17" cm="1">
        <f t="array" ref="E17">IF('Budget Dashboard'!$AQ$5="Current Year", YEAR(current_date),'Budget Dashboard'!$AQ$5)</f>
        <v>2024</v>
      </c>
    </row>
    <row r="18" spans="3:5" ht="15" thickBot="1" x14ac:dyDescent="0.35">
      <c r="C18" s="85" t="s">
        <v>54</v>
      </c>
      <c r="D18" s="86"/>
      <c r="E18" s="131" t="str" cm="1">
        <f t="array" ref="E18">IF('Budget Dashboard'!$AQ$8="Total Year", "Total Year",
    IF('Budget Dashboard'!$AQ$8= "Current Month", MONTH(current_date),
  MONTH('Budget Dashboard'!$AQ$8)))</f>
        <v>Total Year</v>
      </c>
    </row>
    <row r="19" spans="3:5" x14ac:dyDescent="0.3">
      <c r="C19" t="s">
        <v>55</v>
      </c>
      <c r="E19" s="87" t="str">
        <f>IF(selected_period="Total year", "Total Year",
    TEXT(DATE(selected_year, selected_period, 1), "mmmm"))</f>
        <v>Total Year</v>
      </c>
    </row>
    <row r="20" spans="3:5" x14ac:dyDescent="0.3">
      <c r="C20" s="44" t="s">
        <v>102</v>
      </c>
      <c r="E20" s="87">
        <f>IF(selected_period="Total Year",DATE(selected_year,12,31)-DATE(selected_year-1,12,31),DAY(EOMONTH(DATE(selected_year,selected_period,1),0)))</f>
        <v>366</v>
      </c>
    </row>
    <row r="21" spans="3:5" x14ac:dyDescent="0.3">
      <c r="C21" s="44" t="s">
        <v>100</v>
      </c>
      <c r="E21" cm="1">
        <f t="array" aca="1" ref="E21" ca="1">IF(selected_year=YEAR(current_date),
IF(selected_period="Total Year",current_date-DATE(selected_year-1,12,31),
IF(selected_period=MONTH(current_date),DAY(current_date),
   IF(selected_period&lt;MONTH(current_date), E20, 0))),
  IF(selected_year&lt;YEAR(current_date),E20, 0))</f>
        <v>277</v>
      </c>
    </row>
    <row r="22" spans="3:5" x14ac:dyDescent="0.3">
      <c r="C22" s="44" t="s">
        <v>101</v>
      </c>
      <c r="E22" s="132">
        <f ca="1">E21/E20</f>
        <v>0.75683060109289613</v>
      </c>
    </row>
    <row r="23" spans="3:5" x14ac:dyDescent="0.3">
      <c r="C23" s="44" t="s">
        <v>103</v>
      </c>
      <c r="E23" s="133">
        <f ca="1">I42-(P42+W42)</f>
        <v>0</v>
      </c>
    </row>
    <row r="24" spans="3:5" x14ac:dyDescent="0.3">
      <c r="C24" s="70" t="s">
        <v>41</v>
      </c>
      <c r="E24" t="str">
        <f ca="1">IF(E23&gt;=0, "of tracked income left to be allocated", "allocated not covered by income")</f>
        <v>of tracked income left to be allocated</v>
      </c>
    </row>
    <row r="25" spans="3:5" x14ac:dyDescent="0.3">
      <c r="C25" s="44" t="s">
        <v>104</v>
      </c>
      <c r="E25" s="134" t="str">
        <f ca="1">IFERROR(IF(Savings_rate_calculation_type="% allocated to Savings", W42/I42, (I42-P42)/I42),"-")</f>
        <v>-</v>
      </c>
    </row>
    <row r="33" spans="3:25" x14ac:dyDescent="0.3">
      <c r="C33" s="109" t="s">
        <v>81</v>
      </c>
      <c r="D33" s="109"/>
      <c r="E33" s="109"/>
      <c r="F33" s="108"/>
      <c r="G33" s="108"/>
      <c r="H33" s="108"/>
      <c r="I33" s="108"/>
      <c r="J33" s="108"/>
      <c r="K33" s="108"/>
      <c r="L33" s="108"/>
      <c r="M33" s="108"/>
      <c r="N33" s="108"/>
      <c r="P33" s="108"/>
      <c r="Q33" s="108"/>
      <c r="R33" s="108"/>
      <c r="S33" s="108"/>
      <c r="T33" s="108"/>
      <c r="U33" s="108"/>
      <c r="V33" s="108"/>
      <c r="W33" s="108"/>
      <c r="X33" s="108"/>
      <c r="Y33" s="108"/>
    </row>
    <row r="35" spans="3:25" x14ac:dyDescent="0.3">
      <c r="D35" s="110" t="s">
        <v>4</v>
      </c>
      <c r="E35" s="110" t="s">
        <v>23</v>
      </c>
      <c r="F35" s="110"/>
      <c r="G35" s="110"/>
      <c r="H35" s="110"/>
      <c r="I35" s="110" t="s">
        <v>22</v>
      </c>
      <c r="K35" s="110" t="s">
        <v>9</v>
      </c>
      <c r="L35" s="110" t="s">
        <v>23</v>
      </c>
      <c r="M35" s="110"/>
      <c r="N35" s="110"/>
      <c r="O35" s="110"/>
      <c r="P35" s="110" t="s">
        <v>22</v>
      </c>
      <c r="R35" s="110" t="s">
        <v>13</v>
      </c>
      <c r="S35" s="110" t="s">
        <v>23</v>
      </c>
      <c r="T35" s="110"/>
      <c r="U35" s="110"/>
      <c r="V35" s="110"/>
      <c r="W35" s="110" t="s">
        <v>22</v>
      </c>
    </row>
    <row r="36" spans="3:25" x14ac:dyDescent="0.3">
      <c r="D36" s="111">
        <v>1</v>
      </c>
      <c r="E36" s="111" t="str" cm="1">
        <f t="array" aca="1" ref="E36" ca="1">IF(I36="", "",INDEX('Budget Dashboard'!$J:$J,MATCH(Income_header_row + Calculations!D36,'Budget Dashboard'!$X:$X, 0)))</f>
        <v/>
      </c>
      <c r="F36" s="111"/>
      <c r="G36" s="111"/>
      <c r="H36" s="111"/>
      <c r="I36" s="121" t="str" cm="1">
        <f t="array" aca="1" ref="I36" ca="1">IF(D36&gt;COUNTA(income[]), "",
IF(INDEX('Budget Dashboard'!$K:$K,MATCH(Income_header_row + Calculations!D36,'Budget Dashboard'!$X:$X, 0))=0,"",
    INDEX('Budget Dashboard'!$K:$K,MATCH(Income_header_row + Calculations!D36,'Budget Dashboard'!$X:$X, 0))))</f>
        <v/>
      </c>
      <c r="K36" s="111">
        <v>1</v>
      </c>
      <c r="L36" s="111" t="str" cm="1">
        <f t="array" aca="1" ref="L36" ca="1">IF(P36="", "",INDEX('Budget Dashboard'!$J:$J,MATCH(expenses_header_row + Calculations!K36,'Budget Dashboard'!$X:$X, 0)))</f>
        <v/>
      </c>
      <c r="M36" s="111"/>
      <c r="N36" s="111"/>
      <c r="O36" s="111"/>
      <c r="P36" s="121" t="str" cm="1">
        <f t="array" aca="1" ref="P36" ca="1">IF(K36&gt;COUNTA(Expenses[]), "",
IF(INDEX('Budget Dashboard'!$K:$K,MATCH(expenses_header_row + Calculations!K36,'Budget Dashboard'!$X:$X, 0))=0,"",
    INDEX('Budget Dashboard'!$K:$K,MATCH(expenses_header_row + Calculations!K36,'Budget Dashboard'!$X:$X, 0))))</f>
        <v/>
      </c>
      <c r="R36" s="111">
        <v>1</v>
      </c>
      <c r="S36" s="111" t="str" cm="1">
        <f t="array" aca="1" ref="S36" ca="1">IF(W36="", "",INDEX('Budget Dashboard'!$J:$J,MATCH(savings_header_row + Calculations!R36,'Budget Dashboard'!$X:$X, 0)))</f>
        <v/>
      </c>
      <c r="T36" s="111"/>
      <c r="U36" s="111"/>
      <c r="V36" s="111"/>
      <c r="W36" s="121" t="str" cm="1">
        <f t="array" aca="1" ref="W36" ca="1">IF(R36&gt;COUNTA(Savings[]), "",
IF(INDEX('Budget Dashboard'!$K:$K,MATCH(savings_header_row + Calculations!R36,'Budget Dashboard'!$X:$X, 0))=0,"",
    INDEX('Budget Dashboard'!$K:$K,MATCH(savings_header_row + Calculations!R36,'Budget Dashboard'!$X:$X, 0))))</f>
        <v/>
      </c>
    </row>
    <row r="37" spans="3:25" x14ac:dyDescent="0.3">
      <c r="D37" s="111">
        <v>2</v>
      </c>
      <c r="E37" s="111" t="str" cm="1">
        <f t="array" aca="1" ref="E37" ca="1">IF(I37="", "",INDEX('Budget Dashboard'!$J:$J,MATCH(Income_header_row + Calculations!D37,'Budget Dashboard'!$X:$X, 0)))</f>
        <v/>
      </c>
      <c r="F37" s="111"/>
      <c r="G37" s="111"/>
      <c r="H37" s="111"/>
      <c r="I37" s="121" t="str" cm="1">
        <f t="array" aca="1" ref="I37" ca="1">IF(D37&gt;COUNTA(income[]), "",
IF(INDEX('Budget Dashboard'!$K:$K,MATCH(Income_header_row + Calculations!D37,'Budget Dashboard'!$X:$X, 0))=0,"",
    INDEX('Budget Dashboard'!$K:$K,MATCH(Income_header_row + Calculations!D37,'Budget Dashboard'!$X:$X, 0))))</f>
        <v/>
      </c>
      <c r="K37" s="111">
        <v>2</v>
      </c>
      <c r="L37" s="111" t="str" cm="1">
        <f t="array" aca="1" ref="L37" ca="1">IF(P37="", "",INDEX('Budget Dashboard'!$J:$J,MATCH(expenses_header_row + Calculations!K37,'Budget Dashboard'!$X:$X, 0)))</f>
        <v/>
      </c>
      <c r="M37" s="111"/>
      <c r="N37" s="111"/>
      <c r="O37" s="111"/>
      <c r="P37" s="121" t="str" cm="1">
        <f t="array" aca="1" ref="P37" ca="1">IF(K37&gt;COUNTA(Expenses[]), "",
IF(INDEX('Budget Dashboard'!$K:$K,MATCH(expenses_header_row + Calculations!K37,'Budget Dashboard'!$X:$X, 0))=0,"",
    INDEX('Budget Dashboard'!$K:$K,MATCH(expenses_header_row + Calculations!K37,'Budget Dashboard'!$X:$X, 0))))</f>
        <v/>
      </c>
      <c r="R37" s="111">
        <v>2</v>
      </c>
      <c r="S37" s="111" t="str" cm="1">
        <f t="array" aca="1" ref="S37" ca="1">IF(W37="", "",INDEX('Budget Dashboard'!$J:$J,MATCH(savings_header_row + Calculations!R37,'Budget Dashboard'!$X:$X, 0)))</f>
        <v/>
      </c>
      <c r="T37" s="111"/>
      <c r="U37" s="111"/>
      <c r="V37" s="111"/>
      <c r="W37" s="121" t="str" cm="1">
        <f t="array" aca="1" ref="W37" ca="1">IF(R37&gt;COUNTA(Savings[]), "",
IF(INDEX('Budget Dashboard'!$K:$K,MATCH(savings_header_row + Calculations!R37,'Budget Dashboard'!$X:$X, 0))=0,"",
    INDEX('Budget Dashboard'!$K:$K,MATCH(savings_header_row + Calculations!R37,'Budget Dashboard'!$X:$X, 0))))</f>
        <v/>
      </c>
    </row>
    <row r="38" spans="3:25" x14ac:dyDescent="0.3">
      <c r="D38" s="111">
        <v>3</v>
      </c>
      <c r="E38" s="111" t="str" cm="1">
        <f t="array" aca="1" ref="E38" ca="1">IF(I38="", "",INDEX('Budget Dashboard'!$J:$J,MATCH(Income_header_row + Calculations!D38,'Budget Dashboard'!$X:$X, 0)))</f>
        <v/>
      </c>
      <c r="F38" s="111"/>
      <c r="G38" s="111"/>
      <c r="H38" s="111"/>
      <c r="I38" s="121" t="str" cm="1">
        <f t="array" aca="1" ref="I38" ca="1">IF(D38&gt;COUNTA(income[]), "",
IF(INDEX('Budget Dashboard'!$K:$K,MATCH(Income_header_row + Calculations!D38,'Budget Dashboard'!$X:$X, 0))=0,"",
    INDEX('Budget Dashboard'!$K:$K,MATCH(Income_header_row + Calculations!D38,'Budget Dashboard'!$X:$X, 0))))</f>
        <v/>
      </c>
      <c r="K38" s="111">
        <v>3</v>
      </c>
      <c r="L38" s="111" t="str" cm="1">
        <f t="array" aca="1" ref="L38" ca="1">IF(P38="", "",INDEX('Budget Dashboard'!$J:$J,MATCH(expenses_header_row + Calculations!K38,'Budget Dashboard'!$X:$X, 0)))</f>
        <v/>
      </c>
      <c r="M38" s="111"/>
      <c r="N38" s="111"/>
      <c r="O38" s="111"/>
      <c r="P38" s="121" t="str" cm="1">
        <f t="array" aca="1" ref="P38" ca="1">IF(K38&gt;COUNTA(Expenses[]), "",
IF(INDEX('Budget Dashboard'!$K:$K,MATCH(expenses_header_row + Calculations!K38,'Budget Dashboard'!$X:$X, 0))=0,"",
    INDEX('Budget Dashboard'!$K:$K,MATCH(expenses_header_row + Calculations!K38,'Budget Dashboard'!$X:$X, 0))))</f>
        <v/>
      </c>
      <c r="R38" s="111">
        <v>3</v>
      </c>
      <c r="S38" s="111" t="str" cm="1">
        <f t="array" aca="1" ref="S38" ca="1">IF(W38="", "",INDEX('Budget Dashboard'!$J:$J,MATCH(savings_header_row + Calculations!R38,'Budget Dashboard'!$X:$X, 0)))</f>
        <v/>
      </c>
      <c r="T38" s="111"/>
      <c r="U38" s="111"/>
      <c r="V38" s="111"/>
      <c r="W38" s="121" t="str" cm="1">
        <f t="array" aca="1" ref="W38" ca="1">IF(R38&gt;COUNTA(Savings[]), "",
IF(INDEX('Budget Dashboard'!$K:$K,MATCH(savings_header_row + Calculations!R38,'Budget Dashboard'!$X:$X, 0))=0,"",
    INDEX('Budget Dashboard'!$K:$K,MATCH(savings_header_row + Calculations!R38,'Budget Dashboard'!$X:$X, 0))))</f>
        <v/>
      </c>
    </row>
    <row r="39" spans="3:25" x14ac:dyDescent="0.3">
      <c r="D39" s="111">
        <v>4</v>
      </c>
      <c r="E39" s="111" t="str" cm="1">
        <f t="array" aca="1" ref="E39" ca="1">IF(I39="", "",INDEX('Budget Dashboard'!$J:$J,MATCH(Income_header_row + Calculations!D39,'Budget Dashboard'!$X:$X, 0)))</f>
        <v/>
      </c>
      <c r="F39" s="111"/>
      <c r="G39" s="111"/>
      <c r="H39" s="111"/>
      <c r="I39" s="121" t="str" cm="1">
        <f t="array" aca="1" ref="I39" ca="1">IF(D39&gt;COUNTA(income[]), "",
IF(INDEX('Budget Dashboard'!$K:$K,MATCH(Income_header_row + Calculations!D39,'Budget Dashboard'!$X:$X, 0))=0,"",
    INDEX('Budget Dashboard'!$K:$K,MATCH(Income_header_row + Calculations!D39,'Budget Dashboard'!$X:$X, 0))))</f>
        <v/>
      </c>
      <c r="K39" s="111">
        <v>4</v>
      </c>
      <c r="L39" s="111" t="str" cm="1">
        <f t="array" aca="1" ref="L39" ca="1">IF(P39="", "",INDEX('Budget Dashboard'!$J:$J,MATCH(expenses_header_row + Calculations!K39,'Budget Dashboard'!$X:$X, 0)))</f>
        <v/>
      </c>
      <c r="M39" s="111"/>
      <c r="N39" s="111"/>
      <c r="O39" s="111"/>
      <c r="P39" s="121" t="str" cm="1">
        <f t="array" aca="1" ref="P39" ca="1">IF(K39&gt;COUNTA(Expenses[]), "",
IF(INDEX('Budget Dashboard'!$K:$K,MATCH(expenses_header_row + Calculations!K39,'Budget Dashboard'!$X:$X, 0))=0,"",
    INDEX('Budget Dashboard'!$K:$K,MATCH(expenses_header_row + Calculations!K39,'Budget Dashboard'!$X:$X, 0))))</f>
        <v/>
      </c>
      <c r="R39" s="111">
        <v>4</v>
      </c>
      <c r="S39" s="111" t="str" cm="1">
        <f t="array" aca="1" ref="S39" ca="1">IF(W39="", "",INDEX('Budget Dashboard'!$J:$J,MATCH(savings_header_row + Calculations!R39,'Budget Dashboard'!$X:$X, 0)))</f>
        <v/>
      </c>
      <c r="T39" s="111"/>
      <c r="U39" s="111"/>
      <c r="V39" s="111"/>
      <c r="W39" s="121" t="str" cm="1">
        <f t="array" aca="1" ref="W39" ca="1">IF(R39&gt;COUNTA(Savings[]), "",
IF(INDEX('Budget Dashboard'!$K:$K,MATCH(savings_header_row + Calculations!R39,'Budget Dashboard'!$X:$X, 0))=0,"",
    INDEX('Budget Dashboard'!$K:$K,MATCH(savings_header_row + Calculations!R39,'Budget Dashboard'!$X:$X, 0))))</f>
        <v/>
      </c>
    </row>
    <row r="40" spans="3:25" x14ac:dyDescent="0.3">
      <c r="D40" s="111">
        <v>5</v>
      </c>
      <c r="E40" s="111" t="str" cm="1">
        <f t="array" aca="1" ref="E40" ca="1">IF(I40="", "",INDEX('Budget Dashboard'!$J:$J,MATCH(Income_header_row + Calculations!D40,'Budget Dashboard'!$X:$X, 0)))</f>
        <v/>
      </c>
      <c r="F40" s="111"/>
      <c r="G40" s="111"/>
      <c r="H40" s="111"/>
      <c r="I40" s="121" t="str" cm="1">
        <f t="array" aca="1" ref="I40" ca="1">IF(D40&gt;COUNTA(income[]), "",
IF(INDEX('Budget Dashboard'!$K:$K,MATCH(Income_header_row + Calculations!D40,'Budget Dashboard'!$X:$X, 0))=0,"",
    INDEX('Budget Dashboard'!$K:$K,MATCH(Income_header_row + Calculations!D40,'Budget Dashboard'!$X:$X, 0))))</f>
        <v/>
      </c>
      <c r="K40" s="111">
        <v>5</v>
      </c>
      <c r="L40" s="111" t="str" cm="1">
        <f t="array" aca="1" ref="L40" ca="1">IF(P40="", "",INDEX('Budget Dashboard'!$J:$J,MATCH(expenses_header_row + Calculations!K40,'Budget Dashboard'!$X:$X, 0)))</f>
        <v/>
      </c>
      <c r="M40" s="111"/>
      <c r="N40" s="111"/>
      <c r="O40" s="111"/>
      <c r="P40" s="121" t="str" cm="1">
        <f t="array" aca="1" ref="P40" ca="1">IF(K40&gt;COUNTA(Expenses[]), "",
IF(INDEX('Budget Dashboard'!$K:$K,MATCH(expenses_header_row + Calculations!K40,'Budget Dashboard'!$X:$X, 0))=0,"",
    INDEX('Budget Dashboard'!$K:$K,MATCH(expenses_header_row + Calculations!K40,'Budget Dashboard'!$X:$X, 0))))</f>
        <v/>
      </c>
      <c r="R40" s="111">
        <v>5</v>
      </c>
      <c r="S40" s="111" t="str" cm="1">
        <f t="array" aca="1" ref="S40" ca="1">IF(W40="", "",INDEX('Budget Dashboard'!$J:$J,MATCH(savings_header_row + Calculations!R40,'Budget Dashboard'!$X:$X, 0)))</f>
        <v/>
      </c>
      <c r="T40" s="111"/>
      <c r="U40" s="111"/>
      <c r="V40" s="111"/>
      <c r="W40" s="121" t="str" cm="1">
        <f t="array" aca="1" ref="W40" ca="1">IF(R40&gt;COUNTA(Savings[]), "",
IF(INDEX('Budget Dashboard'!$K:$K,MATCH(savings_header_row + Calculations!R40,'Budget Dashboard'!$X:$X, 0))=0,"",
    INDEX('Budget Dashboard'!$K:$K,MATCH(savings_header_row + Calculations!R40,'Budget Dashboard'!$X:$X, 0))))</f>
        <v/>
      </c>
    </row>
    <row r="41" spans="3:25" ht="15" thickBot="1" x14ac:dyDescent="0.35">
      <c r="D41" s="112">
        <v>6</v>
      </c>
      <c r="E41" s="112" t="str">
        <f ca="1">IF(I41="","","Other")</f>
        <v/>
      </c>
      <c r="F41" s="112"/>
      <c r="G41" s="112"/>
      <c r="H41" s="112"/>
      <c r="I41" s="115" t="str">
        <f ca="1">IF(I42-SUM(I36:I40)=0, "",I42-SUM(I36:I40))</f>
        <v/>
      </c>
      <c r="K41" s="112">
        <v>6</v>
      </c>
      <c r="L41" s="112" t="str">
        <f ca="1">IF(P41="","","Other")</f>
        <v/>
      </c>
      <c r="M41" s="112"/>
      <c r="N41" s="112"/>
      <c r="O41" s="112"/>
      <c r="P41" s="115" t="str">
        <f ca="1">IF(P42-SUM(P36:P40)=0, "",P42-SUM(P36:P40))</f>
        <v/>
      </c>
      <c r="R41" s="112">
        <v>6</v>
      </c>
      <c r="S41" s="112" t="str">
        <f ca="1">IF(W41="","","Other")</f>
        <v/>
      </c>
      <c r="T41" s="112"/>
      <c r="U41" s="112"/>
      <c r="V41" s="112"/>
      <c r="W41" s="115" t="str">
        <f ca="1">IF(W42-SUM(W36:W40)=0, "",W42-SUM(W36:W40))</f>
        <v/>
      </c>
    </row>
    <row r="42" spans="3:25" ht="15" thickTop="1" x14ac:dyDescent="0.3">
      <c r="D42" s="114"/>
      <c r="E42" s="113" t="s">
        <v>6</v>
      </c>
      <c r="F42" s="114"/>
      <c r="G42" s="114"/>
      <c r="H42" s="114"/>
      <c r="I42" s="116" cm="1">
        <f t="array" aca="1" ref="I42" ca="1" xml:space="preserve"> INDEX('Budget Dashboard'!$K:$K,MATCH(income_total_row,'Budget Dashboard'!$X:$X, 0))</f>
        <v>0</v>
      </c>
      <c r="K42" s="114"/>
      <c r="L42" s="113" t="s">
        <v>6</v>
      </c>
      <c r="M42" s="114"/>
      <c r="N42" s="114"/>
      <c r="O42" s="114"/>
      <c r="P42" s="116" cm="1">
        <f t="array" aca="1" ref="P42" ca="1" xml:space="preserve"> INDEX('Budget Dashboard'!$K:$K,MATCH(expenses_total_row,'Budget Dashboard'!$X:$X, 0))</f>
        <v>0</v>
      </c>
      <c r="R42" s="114"/>
      <c r="S42" s="113" t="s">
        <v>6</v>
      </c>
      <c r="T42" s="114"/>
      <c r="U42" s="114"/>
      <c r="V42" s="114"/>
      <c r="W42" s="116" cm="1">
        <f t="array" aca="1" ref="W42" ca="1" xml:space="preserve"> INDEX('Budget Dashboard'!$K:$K,MATCH(savings_total_row,'Budget Dashboard'!$X:$X, 0))</f>
        <v>0</v>
      </c>
    </row>
    <row r="48" spans="3:25" x14ac:dyDescent="0.3">
      <c r="C48" s="123" t="s">
        <v>82</v>
      </c>
      <c r="D48" s="109"/>
      <c r="E48" s="109"/>
      <c r="F48" s="108"/>
      <c r="G48" s="108"/>
      <c r="H48" s="108"/>
      <c r="I48" s="108"/>
      <c r="J48" s="108"/>
      <c r="K48" s="108"/>
      <c r="L48" s="108"/>
      <c r="M48" s="108"/>
      <c r="N48" s="108"/>
      <c r="P48" s="108"/>
      <c r="Q48" s="108"/>
      <c r="R48" s="108"/>
      <c r="S48" s="108"/>
      <c r="T48" s="108"/>
      <c r="U48" s="108"/>
      <c r="V48" s="108"/>
      <c r="W48" s="108"/>
      <c r="X48" s="108"/>
      <c r="Y48" s="108"/>
    </row>
    <row r="50" spans="4:30" x14ac:dyDescent="0.3">
      <c r="D50" s="128" t="s">
        <v>96</v>
      </c>
      <c r="E50" s="129" t="b">
        <v>1</v>
      </c>
    </row>
    <row r="51" spans="4:30" x14ac:dyDescent="0.3">
      <c r="D51" s="128" t="s">
        <v>97</v>
      </c>
      <c r="E51" s="129" t="b">
        <v>1</v>
      </c>
    </row>
    <row r="52" spans="4:30" x14ac:dyDescent="0.3">
      <c r="D52" s="128" t="s">
        <v>98</v>
      </c>
      <c r="E52" s="129" t="b">
        <v>1</v>
      </c>
    </row>
    <row r="53" spans="4:30" x14ac:dyDescent="0.3">
      <c r="D53" s="128" t="s">
        <v>99</v>
      </c>
      <c r="E53" s="129" t="b">
        <v>1</v>
      </c>
    </row>
    <row r="54" spans="4:30" x14ac:dyDescent="0.3">
      <c r="S54" s="153" t="s">
        <v>91</v>
      </c>
      <c r="T54" s="154"/>
      <c r="U54" s="154"/>
      <c r="V54" s="154"/>
      <c r="W54" s="154"/>
      <c r="X54" s="154"/>
      <c r="Y54" s="155" t="s">
        <v>95</v>
      </c>
      <c r="Z54" s="156"/>
      <c r="AA54" s="156"/>
      <c r="AB54" s="156"/>
      <c r="AC54" s="156"/>
      <c r="AD54" s="156"/>
    </row>
    <row r="55" spans="4:30" s="114" customFormat="1" x14ac:dyDescent="0.3">
      <c r="D55" s="124" t="s">
        <v>83</v>
      </c>
      <c r="E55" s="124" t="s">
        <v>21</v>
      </c>
      <c r="F55" s="124"/>
      <c r="G55" s="124"/>
      <c r="H55" s="124"/>
      <c r="I55" s="124" t="s">
        <v>84</v>
      </c>
      <c r="J55" s="124" t="s">
        <v>85</v>
      </c>
      <c r="K55" s="124" t="s">
        <v>86</v>
      </c>
      <c r="L55" s="124" t="s">
        <v>87</v>
      </c>
      <c r="M55" s="124"/>
      <c r="N55" s="124"/>
      <c r="O55" s="124"/>
      <c r="P55" s="124" t="s">
        <v>88</v>
      </c>
      <c r="Q55" s="124" t="s">
        <v>89</v>
      </c>
      <c r="R55" s="124" t="s">
        <v>90</v>
      </c>
      <c r="S55" s="124" t="s">
        <v>92</v>
      </c>
      <c r="T55" s="124"/>
      <c r="U55" s="124"/>
      <c r="V55" s="124"/>
      <c r="W55" s="124" t="s">
        <v>93</v>
      </c>
      <c r="X55" s="124" t="s">
        <v>94</v>
      </c>
      <c r="Y55" s="124" t="s">
        <v>92</v>
      </c>
      <c r="Z55" s="124"/>
      <c r="AA55" s="124"/>
      <c r="AB55" s="124"/>
      <c r="AC55" s="124" t="s">
        <v>93</v>
      </c>
      <c r="AD55" s="124" t="s">
        <v>94</v>
      </c>
    </row>
    <row r="56" spans="4:30" x14ac:dyDescent="0.3">
      <c r="D56" s="149">
        <f>DATE(selected_year, 1, 1)</f>
        <v>45292</v>
      </c>
      <c r="E56" s="111" t="s">
        <v>4</v>
      </c>
      <c r="F56" s="111"/>
      <c r="G56" s="111"/>
      <c r="H56" s="111"/>
      <c r="I56" s="111">
        <f>MONTH(D56)</f>
        <v>1</v>
      </c>
      <c r="J56" s="111">
        <f>IF(selected_period="Total Year", 1, IF(selected_period=cc_month_number, 1, 0))</f>
        <v>1</v>
      </c>
      <c r="K56" s="111">
        <f>1*$E$50</f>
        <v>1</v>
      </c>
      <c r="L56" s="111">
        <f>1*$E$53</f>
        <v>1</v>
      </c>
      <c r="M56" s="111"/>
      <c r="N56" s="111"/>
      <c r="O56" s="111"/>
      <c r="P56" s="130" cm="1">
        <f t="array" ref="P56" xml:space="preserve">  SUM( Tracking[Amount] * (Tracking[Type]=cc_type) * (YEAR(Tracking[Effective Date])=selected_year) * (MONTH(Tracking[Effective Date])=cc_month_number))</f>
        <v>0</v>
      </c>
      <c r="Q56" s="130" cm="1">
        <f t="array" aca="1" ref="Q56" ca="1">INDEX('Budget planning'!$E:$DY, income_total_row, MATCH(DATE(selected_year, cc_month_number, 1), 'Budget planning'!$E$10:$DY$10, 0) )</f>
        <v>3500</v>
      </c>
      <c r="R56" s="130">
        <f ca="1">cc_budget-cc_tracked</f>
        <v>3500</v>
      </c>
      <c r="S56">
        <f ca="1">cc_in_focus * cc_show_type * MIN(cc_tracked, cc_budget)</f>
        <v>0</v>
      </c>
      <c r="W56">
        <f ca="1">cc_in_focus * cc_show_type *cc_show_remaining_Budget * IF(cc_delta&gt;0, cc_delta, 0)</f>
        <v>3500</v>
      </c>
      <c r="X56" s="126">
        <f ca="1">cc_in_focus * cc_show_type *IF(cc_delta&lt;0, ABS(cc_delta), 0)</f>
        <v>0</v>
      </c>
      <c r="Y56">
        <f ca="1">NOT(cc_in_focus) * cc_show_type * MIN(cc_tracked, cc_budget)</f>
        <v>0</v>
      </c>
      <c r="AC56">
        <f ca="1">NOT(cc_in_focus) * cc_show_type *cc_show_remaining_Budget * IF(cc_delta&gt;0, cc_delta, 0)</f>
        <v>0</v>
      </c>
      <c r="AD56" s="126">
        <f ca="1">NOT(cc_in_focus) * cc_show_type *IF(cc_delta&lt;0, ABS(cc_delta), 0)</f>
        <v>0</v>
      </c>
    </row>
    <row r="57" spans="4:30" x14ac:dyDescent="0.3">
      <c r="D57" s="149"/>
      <c r="E57" s="111" t="s">
        <v>9</v>
      </c>
      <c r="F57" s="111"/>
      <c r="G57" s="111"/>
      <c r="H57" s="111"/>
      <c r="I57" s="111">
        <f>MONTH(D56)</f>
        <v>1</v>
      </c>
      <c r="J57" s="111">
        <f>IF(selected_period="Total Year", 1, IF(selected_period=cc_month_number, 1, 0))</f>
        <v>1</v>
      </c>
      <c r="K57" s="111">
        <f>1*$E$51</f>
        <v>1</v>
      </c>
      <c r="L57" s="111">
        <f t="shared" ref="L57:L102" si="0">1*$E$53</f>
        <v>1</v>
      </c>
      <c r="M57" s="111"/>
      <c r="N57" s="111"/>
      <c r="O57" s="111"/>
      <c r="P57" s="130" cm="1">
        <f t="array" ref="P57" xml:space="preserve">  SUM( Tracking[Amount] * (Tracking[Type]=cc_type) * (YEAR(Tracking[Effective Date])=selected_year) * (MONTH(Tracking[Effective Date])=cc_month_number))</f>
        <v>0</v>
      </c>
      <c r="Q57" s="130" cm="1">
        <f t="array" aca="1" ref="Q57" ca="1">INDEX('Budget planning'!$E:$DY, expenses_total_row, MATCH(DATE(selected_year, cc_month_number, 1), 'Budget planning'!$E$10:$DY$10, 0) )</f>
        <v>1725</v>
      </c>
      <c r="R57" s="130">
        <f ca="1">cc_budget-cc_tracked</f>
        <v>1725</v>
      </c>
      <c r="S57">
        <f ca="1">cc_in_focus * cc_show_type * MIN(cc_tracked, cc_budget)</f>
        <v>0</v>
      </c>
      <c r="W57">
        <f ca="1">cc_in_focus * cc_show_type *cc_show_remaining_Budget * IF(cc_delta&gt;0, cc_delta, 0)</f>
        <v>1725</v>
      </c>
      <c r="X57" s="126">
        <f ca="1">cc_in_focus * cc_show_type *IF(cc_delta&lt;0, ABS(cc_delta), 0)</f>
        <v>0</v>
      </c>
      <c r="Y57">
        <f ca="1">NOT(cc_in_focus) * cc_show_type * MIN(cc_tracked, cc_budget)</f>
        <v>0</v>
      </c>
      <c r="AC57">
        <f ca="1">NOT(cc_in_focus) * cc_show_type *cc_show_remaining_Budget * IF(cc_delta&gt;0, cc_delta, 0)</f>
        <v>0</v>
      </c>
      <c r="AD57" s="126">
        <f ca="1">NOT(cc_in_focus) * cc_show_type *IF(cc_delta&lt;0, ABS(cc_delta), 0)</f>
        <v>0</v>
      </c>
    </row>
    <row r="58" spans="4:30" x14ac:dyDescent="0.3">
      <c r="D58" s="149"/>
      <c r="E58" s="111" t="s">
        <v>13</v>
      </c>
      <c r="F58" s="111"/>
      <c r="G58" s="111"/>
      <c r="H58" s="111"/>
      <c r="I58" s="111">
        <f>MONTH(D56)</f>
        <v>1</v>
      </c>
      <c r="J58" s="111">
        <f>IF(selected_period="Total Year", 1, IF(selected_period=cc_month_number, 1, 0))</f>
        <v>1</v>
      </c>
      <c r="K58" s="111">
        <f>1*$E$52</f>
        <v>1</v>
      </c>
      <c r="L58" s="111">
        <f t="shared" si="0"/>
        <v>1</v>
      </c>
      <c r="M58" s="111"/>
      <c r="N58" s="111"/>
      <c r="O58" s="111"/>
      <c r="P58" s="130" cm="1">
        <f t="array" ref="P58" xml:space="preserve">  SUM( Tracking[Amount] * (Tracking[Type]=cc_type) * (YEAR(Tracking[Effective Date])=selected_year) * (MONTH(Tracking[Effective Date])=cc_month_number))</f>
        <v>0</v>
      </c>
      <c r="Q58" s="130" cm="1">
        <f t="array" aca="1" ref="Q58" ca="1">INDEX('Budget planning'!$E:$DY, savings_total_row, MATCH(DATE(selected_year, cc_month_number, 1), 'Budget planning'!$E$10:$DY$10, 0) )</f>
        <v>1500</v>
      </c>
      <c r="R58" s="130">
        <f ca="1">cc_budget-cc_tracked</f>
        <v>1500</v>
      </c>
      <c r="S58">
        <f ca="1">cc_in_focus * cc_show_type * MIN(cc_tracked, cc_budget)</f>
        <v>0</v>
      </c>
      <c r="W58">
        <f ca="1">cc_in_focus * cc_show_type *cc_show_remaining_Budget * IF(cc_delta&gt;0, cc_delta, 0)</f>
        <v>1500</v>
      </c>
      <c r="X58" s="126">
        <f ca="1">cc_in_focus * cc_show_type *IF(cc_delta&lt;0, ABS(cc_delta), 0)</f>
        <v>0</v>
      </c>
      <c r="Y58">
        <f ca="1">NOT(cc_in_focus) * cc_show_type * MIN(cc_tracked, cc_budget)</f>
        <v>0</v>
      </c>
      <c r="AC58">
        <f ca="1">NOT(cc_in_focus) * cc_show_type *cc_show_remaining_Budget * IF(cc_delta&gt;0, cc_delta, 0)</f>
        <v>0</v>
      </c>
      <c r="AD58" s="126">
        <f ca="1">NOT(cc_in_focus) * cc_show_type *IF(cc_delta&lt;0, ABS(cc_delta), 0)</f>
        <v>0</v>
      </c>
    </row>
    <row r="59" spans="4:30" x14ac:dyDescent="0.3">
      <c r="D59" s="150"/>
      <c r="E59" s="125"/>
      <c r="F59" s="125"/>
      <c r="G59" s="125"/>
      <c r="H59" s="125"/>
      <c r="I59" s="125"/>
      <c r="J59" s="125"/>
      <c r="K59" s="125"/>
      <c r="L59" s="125"/>
      <c r="M59" s="125"/>
      <c r="N59" s="125"/>
      <c r="O59" s="125"/>
      <c r="P59" s="127"/>
      <c r="Q59" s="127"/>
      <c r="R59" s="127"/>
      <c r="S59" s="127"/>
      <c r="T59" s="127"/>
      <c r="U59" s="127"/>
      <c r="V59" s="127"/>
      <c r="W59" s="127"/>
      <c r="X59" s="127"/>
      <c r="Y59" s="127"/>
      <c r="Z59" s="127"/>
      <c r="AA59" s="127"/>
      <c r="AB59" s="127"/>
      <c r="AC59" s="127"/>
      <c r="AD59" s="127"/>
    </row>
    <row r="60" spans="4:30" x14ac:dyDescent="0.3">
      <c r="D60" s="149">
        <f>DATE(selected_year, 2, 1)</f>
        <v>45323</v>
      </c>
      <c r="E60" s="111" t="s">
        <v>4</v>
      </c>
      <c r="F60" s="111"/>
      <c r="G60" s="111"/>
      <c r="H60" s="111"/>
      <c r="I60" s="111">
        <f>MONTH(D60)</f>
        <v>2</v>
      </c>
      <c r="J60" s="111">
        <f>IF(selected_period="Total Year", 1, IF(selected_period=cc_month_number, 1, 0))</f>
        <v>1</v>
      </c>
      <c r="K60" s="111">
        <f>1*$E$50</f>
        <v>1</v>
      </c>
      <c r="L60" s="111">
        <f>1*$E$53</f>
        <v>1</v>
      </c>
      <c r="M60" s="111"/>
      <c r="N60" s="111"/>
      <c r="O60" s="111"/>
      <c r="P60" s="130" cm="1">
        <f t="array" ref="P60" xml:space="preserve">  SUM( Tracking[Amount] * (Tracking[Type]=cc_type) * (YEAR(Tracking[Effective Date])=selected_year) * (MONTH(Tracking[Effective Date])=cc_month_number))</f>
        <v>0</v>
      </c>
      <c r="Q60" s="130" cm="1">
        <f t="array" aca="1" ref="Q60" ca="1">INDEX('Budget planning'!$E:$DY, income_total_row, MATCH(DATE(selected_year, cc_month_number, 1), 'Budget planning'!$E$10:$DY$10, 0) )</f>
        <v>2500</v>
      </c>
      <c r="R60" s="130">
        <f ca="1">cc_budget-cc_tracked</f>
        <v>2500</v>
      </c>
      <c r="S60">
        <f ca="1">cc_in_focus * cc_show_type * MIN(cc_tracked, cc_budget)</f>
        <v>0</v>
      </c>
      <c r="W60">
        <f ca="1">cc_in_focus * cc_show_type *cc_show_remaining_Budget * IF(cc_delta&gt;0, cc_delta, 0)</f>
        <v>2500</v>
      </c>
      <c r="X60" s="126">
        <f ca="1">cc_in_focus * cc_show_type *IF(cc_delta&lt;0, ABS(cc_delta), 0)</f>
        <v>0</v>
      </c>
      <c r="Y60">
        <f ca="1">NOT(cc_in_focus) * cc_show_type * MIN(cc_tracked, cc_budget)</f>
        <v>0</v>
      </c>
      <c r="AC60">
        <f ca="1">NOT(cc_in_focus) * cc_show_type *cc_show_remaining_Budget * IF(cc_delta&gt;0, cc_delta, 0)</f>
        <v>0</v>
      </c>
      <c r="AD60" s="126">
        <f ca="1">NOT(cc_in_focus) * cc_show_type *IF(cc_delta&lt;0, ABS(cc_delta), 0)</f>
        <v>0</v>
      </c>
    </row>
    <row r="61" spans="4:30" x14ac:dyDescent="0.3">
      <c r="D61" s="149"/>
      <c r="E61" s="111" t="s">
        <v>9</v>
      </c>
      <c r="F61" s="111"/>
      <c r="G61" s="111"/>
      <c r="H61" s="111"/>
      <c r="I61" s="111">
        <f>MONTH(D60)</f>
        <v>2</v>
      </c>
      <c r="J61" s="111">
        <f>IF(selected_period="Total Year", 1, IF(selected_period=cc_month_number, 1, 0))</f>
        <v>1</v>
      </c>
      <c r="K61" s="111">
        <f>1*$E$51</f>
        <v>1</v>
      </c>
      <c r="L61" s="111">
        <f t="shared" si="0"/>
        <v>1</v>
      </c>
      <c r="M61" s="111"/>
      <c r="N61" s="111"/>
      <c r="O61" s="111"/>
      <c r="P61" s="130" cm="1">
        <f t="array" ref="P61" xml:space="preserve">  SUM( Tracking[Amount] * (Tracking[Type]=cc_type) * (YEAR(Tracking[Effective Date])=selected_year) * (MONTH(Tracking[Effective Date])=cc_month_number))</f>
        <v>0</v>
      </c>
      <c r="Q61" s="130" cm="1">
        <f t="array" aca="1" ref="Q61" ca="1">INDEX('Budget planning'!$E:$DY, expenses_total_row, MATCH(DATE(selected_year, cc_month_number, 1), 'Budget planning'!$E$10:$DY$10, 0) )</f>
        <v>1545</v>
      </c>
      <c r="R61" s="130">
        <f ca="1">cc_budget-cc_tracked</f>
        <v>1545</v>
      </c>
      <c r="S61">
        <f ca="1">cc_in_focus * cc_show_type * MIN(cc_tracked, cc_budget)</f>
        <v>0</v>
      </c>
      <c r="W61">
        <f ca="1">cc_in_focus * cc_show_type *cc_show_remaining_Budget * IF(cc_delta&gt;0, cc_delta, 0)</f>
        <v>1545</v>
      </c>
      <c r="X61" s="126">
        <f ca="1">cc_in_focus * cc_show_type *IF(cc_delta&lt;0, ABS(cc_delta), 0)</f>
        <v>0</v>
      </c>
      <c r="Y61">
        <f ca="1">NOT(cc_in_focus) * cc_show_type * MIN(cc_tracked, cc_budget)</f>
        <v>0</v>
      </c>
      <c r="AC61">
        <f ca="1">NOT(cc_in_focus) * cc_show_type *cc_show_remaining_Budget * IF(cc_delta&gt;0, cc_delta, 0)</f>
        <v>0</v>
      </c>
      <c r="AD61" s="126">
        <f ca="1">NOT(cc_in_focus) * cc_show_type *IF(cc_delta&lt;0, ABS(cc_delta), 0)</f>
        <v>0</v>
      </c>
    </row>
    <row r="62" spans="4:30" x14ac:dyDescent="0.3">
      <c r="D62" s="149"/>
      <c r="E62" s="111" t="s">
        <v>13</v>
      </c>
      <c r="F62" s="111"/>
      <c r="G62" s="111"/>
      <c r="H62" s="111"/>
      <c r="I62" s="111">
        <f>MONTH(D60)</f>
        <v>2</v>
      </c>
      <c r="J62" s="111">
        <f>IF(selected_period="Total Year", 1, IF(selected_period=cc_month_number, 1, 0))</f>
        <v>1</v>
      </c>
      <c r="K62" s="111">
        <f>1*$E$52</f>
        <v>1</v>
      </c>
      <c r="L62" s="111">
        <f t="shared" si="0"/>
        <v>1</v>
      </c>
      <c r="M62" s="111"/>
      <c r="N62" s="111"/>
      <c r="O62" s="111"/>
      <c r="P62" s="130" cm="1">
        <f t="array" ref="P62" xml:space="preserve">  SUM( Tracking[Amount] * (Tracking[Type]=cc_type) * (YEAR(Tracking[Effective Date])=selected_year) * (MONTH(Tracking[Effective Date])=cc_month_number))</f>
        <v>0</v>
      </c>
      <c r="Q62" s="130" cm="1">
        <f t="array" aca="1" ref="Q62" ca="1">INDEX('Budget planning'!$E:$DY, savings_total_row, MATCH(DATE(selected_year, cc_month_number, 1), 'Budget planning'!$E$10:$DY$10, 0) )</f>
        <v>1500</v>
      </c>
      <c r="R62" s="130">
        <f ca="1">cc_budget-cc_tracked</f>
        <v>1500</v>
      </c>
      <c r="S62">
        <f ca="1">cc_in_focus * cc_show_type * MIN(cc_tracked, cc_budget)</f>
        <v>0</v>
      </c>
      <c r="W62">
        <f ca="1">cc_in_focus * cc_show_type *cc_show_remaining_Budget * IF(cc_delta&gt;0, cc_delta, 0)</f>
        <v>1500</v>
      </c>
      <c r="X62" s="126">
        <f ca="1">cc_in_focus * cc_show_type *IF(cc_delta&lt;0, ABS(cc_delta), 0)</f>
        <v>0</v>
      </c>
      <c r="Y62">
        <f ca="1">NOT(cc_in_focus) * cc_show_type * MIN(cc_tracked, cc_budget)</f>
        <v>0</v>
      </c>
      <c r="AC62">
        <f ca="1">NOT(cc_in_focus) * cc_show_type *cc_show_remaining_Budget * IF(cc_delta&gt;0, cc_delta, 0)</f>
        <v>0</v>
      </c>
      <c r="AD62" s="126">
        <f ca="1">NOT(cc_in_focus) * cc_show_type *IF(cc_delta&lt;0, ABS(cc_delta), 0)</f>
        <v>0</v>
      </c>
    </row>
    <row r="63" spans="4:30" x14ac:dyDescent="0.3">
      <c r="D63" s="150"/>
      <c r="E63" s="125"/>
      <c r="F63" s="125"/>
      <c r="G63" s="125"/>
      <c r="H63" s="125"/>
      <c r="I63" s="125"/>
      <c r="J63" s="125"/>
      <c r="K63" s="125"/>
      <c r="L63" s="125"/>
      <c r="M63" s="125"/>
      <c r="N63" s="125"/>
      <c r="O63" s="125"/>
      <c r="P63" s="127"/>
      <c r="Q63" s="127"/>
      <c r="R63" s="127"/>
      <c r="S63" s="127"/>
      <c r="T63" s="127"/>
      <c r="U63" s="127"/>
      <c r="V63" s="127"/>
      <c r="W63" s="127"/>
      <c r="X63" s="127"/>
      <c r="Y63" s="127"/>
      <c r="Z63" s="127"/>
      <c r="AA63" s="127"/>
      <c r="AB63" s="127"/>
      <c r="AC63" s="127"/>
      <c r="AD63" s="127"/>
    </row>
    <row r="64" spans="4:30" x14ac:dyDescent="0.3">
      <c r="D64" s="149">
        <f>DATE(selected_year, 3, 1)</f>
        <v>45352</v>
      </c>
      <c r="E64" s="111" t="s">
        <v>4</v>
      </c>
      <c r="F64" s="111"/>
      <c r="G64" s="111"/>
      <c r="H64" s="111"/>
      <c r="I64" s="111">
        <f>MONTH(D64)</f>
        <v>3</v>
      </c>
      <c r="J64" s="111">
        <f>IF(selected_period="Total Year", 1, IF(selected_period=cc_month_number, 1, 0))</f>
        <v>1</v>
      </c>
      <c r="K64" s="111">
        <f t="shared" ref="K64" si="1">1*$E$50</f>
        <v>1</v>
      </c>
      <c r="L64" s="111">
        <f t="shared" ref="L64" si="2">1*$E$53</f>
        <v>1</v>
      </c>
      <c r="M64" s="111"/>
      <c r="N64" s="111"/>
      <c r="O64" s="111"/>
      <c r="P64" s="130" cm="1">
        <f t="array" ref="P64" xml:space="preserve">  SUM( Tracking[Amount] * (Tracking[Type]=cc_type) * (YEAR(Tracking[Effective Date])=selected_year) * (MONTH(Tracking[Effective Date])=cc_month_number))</f>
        <v>0</v>
      </c>
      <c r="Q64" s="130" cm="1">
        <f t="array" aca="1" ref="Q64" ca="1">INDEX('Budget planning'!$E:$DY, income_total_row, MATCH(DATE(selected_year, cc_month_number, 1), 'Budget planning'!$E$10:$DY$10, 0) )</f>
        <v>2500</v>
      </c>
      <c r="R64" s="130">
        <f ca="1">cc_budget-cc_tracked</f>
        <v>2500</v>
      </c>
      <c r="S64">
        <f ca="1">cc_in_focus * cc_show_type * MIN(cc_tracked, cc_budget)</f>
        <v>0</v>
      </c>
      <c r="W64">
        <f ca="1">cc_in_focus * cc_show_type *cc_show_remaining_Budget * IF(cc_delta&gt;0, cc_delta, 0)</f>
        <v>2500</v>
      </c>
      <c r="X64" s="126">
        <f ca="1">cc_in_focus * cc_show_type *IF(cc_delta&lt;0, ABS(cc_delta), 0)</f>
        <v>0</v>
      </c>
      <c r="Y64">
        <f ca="1">NOT(cc_in_focus) * cc_show_type * MIN(cc_tracked, cc_budget)</f>
        <v>0</v>
      </c>
      <c r="AC64">
        <f ca="1">NOT(cc_in_focus) * cc_show_type *cc_show_remaining_Budget * IF(cc_delta&gt;0, cc_delta, 0)</f>
        <v>0</v>
      </c>
      <c r="AD64" s="126">
        <f ca="1">NOT(cc_in_focus) * cc_show_type *IF(cc_delta&lt;0, ABS(cc_delta), 0)</f>
        <v>0</v>
      </c>
    </row>
    <row r="65" spans="4:30" x14ac:dyDescent="0.3">
      <c r="D65" s="149"/>
      <c r="E65" s="111" t="s">
        <v>9</v>
      </c>
      <c r="F65" s="111"/>
      <c r="G65" s="111"/>
      <c r="H65" s="111"/>
      <c r="I65" s="111">
        <f>MONTH(D64)</f>
        <v>3</v>
      </c>
      <c r="J65" s="111">
        <f>IF(selected_period="Total Year", 1, IF(selected_period=cc_month_number, 1, 0))</f>
        <v>1</v>
      </c>
      <c r="K65" s="111">
        <f t="shared" ref="K65" si="3">1*$E$51</f>
        <v>1</v>
      </c>
      <c r="L65" s="111">
        <f t="shared" si="0"/>
        <v>1</v>
      </c>
      <c r="M65" s="111"/>
      <c r="N65" s="111"/>
      <c r="O65" s="111"/>
      <c r="P65" s="130" cm="1">
        <f t="array" ref="P65" xml:space="preserve">  SUM( Tracking[Amount] * (Tracking[Type]=cc_type) * (YEAR(Tracking[Effective Date])=selected_year) * (MONTH(Tracking[Effective Date])=cc_month_number))</f>
        <v>0</v>
      </c>
      <c r="Q65" s="130" cm="1">
        <f t="array" aca="1" ref="Q65" ca="1">INDEX('Budget planning'!$E:$DY, expenses_total_row, MATCH(DATE(selected_year, cc_month_number, 1), 'Budget planning'!$E$10:$DY$10, 0) )</f>
        <v>1895</v>
      </c>
      <c r="R65" s="130">
        <f ca="1">cc_budget-cc_tracked</f>
        <v>1895</v>
      </c>
      <c r="S65">
        <f ca="1">cc_in_focus * cc_show_type * MIN(cc_tracked, cc_budget)</f>
        <v>0</v>
      </c>
      <c r="W65">
        <f ca="1">cc_in_focus * cc_show_type *cc_show_remaining_Budget * IF(cc_delta&gt;0, cc_delta, 0)</f>
        <v>1895</v>
      </c>
      <c r="X65" s="126">
        <f ca="1">cc_in_focus * cc_show_type *IF(cc_delta&lt;0, ABS(cc_delta), 0)</f>
        <v>0</v>
      </c>
      <c r="Y65">
        <f ca="1">NOT(cc_in_focus) * cc_show_type * MIN(cc_tracked, cc_budget)</f>
        <v>0</v>
      </c>
      <c r="AC65">
        <f ca="1">NOT(cc_in_focus) * cc_show_type *cc_show_remaining_Budget * IF(cc_delta&gt;0, cc_delta, 0)</f>
        <v>0</v>
      </c>
      <c r="AD65" s="126">
        <f ca="1">NOT(cc_in_focus) * cc_show_type *IF(cc_delta&lt;0, ABS(cc_delta), 0)</f>
        <v>0</v>
      </c>
    </row>
    <row r="66" spans="4:30" x14ac:dyDescent="0.3">
      <c r="D66" s="149"/>
      <c r="E66" s="111" t="s">
        <v>13</v>
      </c>
      <c r="F66" s="111"/>
      <c r="G66" s="111"/>
      <c r="H66" s="111"/>
      <c r="I66" s="111">
        <f>MONTH(D64)</f>
        <v>3</v>
      </c>
      <c r="J66" s="111">
        <f>IF(selected_period="Total Year", 1, IF(selected_period=cc_month_number, 1, 0))</f>
        <v>1</v>
      </c>
      <c r="K66" s="111">
        <f t="shared" ref="K66" si="4">1*$E$52</f>
        <v>1</v>
      </c>
      <c r="L66" s="111">
        <f t="shared" si="0"/>
        <v>1</v>
      </c>
      <c r="M66" s="111"/>
      <c r="N66" s="111"/>
      <c r="O66" s="111"/>
      <c r="P66" s="130" cm="1">
        <f t="array" ref="P66" xml:space="preserve">  SUM( Tracking[Amount] * (Tracking[Type]=cc_type) * (YEAR(Tracking[Effective Date])=selected_year) * (MONTH(Tracking[Effective Date])=cc_month_number))</f>
        <v>0</v>
      </c>
      <c r="Q66" s="130" cm="1">
        <f t="array" aca="1" ref="Q66" ca="1">INDEX('Budget planning'!$E:$DY, savings_total_row, MATCH(DATE(selected_year, cc_month_number, 1), 'Budget planning'!$E$10:$DY$10, 0) )</f>
        <v>1500</v>
      </c>
      <c r="R66" s="130">
        <f ca="1">cc_budget-cc_tracked</f>
        <v>1500</v>
      </c>
      <c r="S66">
        <f ca="1">cc_in_focus * cc_show_type * MIN(cc_tracked, cc_budget)</f>
        <v>0</v>
      </c>
      <c r="W66">
        <f ca="1">cc_in_focus * cc_show_type *cc_show_remaining_Budget * IF(cc_delta&gt;0, cc_delta, 0)</f>
        <v>1500</v>
      </c>
      <c r="X66" s="126">
        <f ca="1">cc_in_focus * cc_show_type *IF(cc_delta&lt;0, ABS(cc_delta), 0)</f>
        <v>0</v>
      </c>
      <c r="Y66">
        <f ca="1">NOT(cc_in_focus) * cc_show_type * MIN(cc_tracked, cc_budget)</f>
        <v>0</v>
      </c>
      <c r="AC66">
        <f ca="1">NOT(cc_in_focus) * cc_show_type *cc_show_remaining_Budget * IF(cc_delta&gt;0, cc_delta, 0)</f>
        <v>0</v>
      </c>
      <c r="AD66" s="126">
        <f ca="1">NOT(cc_in_focus) * cc_show_type *IF(cc_delta&lt;0, ABS(cc_delta), 0)</f>
        <v>0</v>
      </c>
    </row>
    <row r="67" spans="4:30" x14ac:dyDescent="0.3">
      <c r="D67" s="150"/>
      <c r="E67" s="125"/>
      <c r="F67" s="125"/>
      <c r="G67" s="125"/>
      <c r="H67" s="125"/>
      <c r="I67" s="125"/>
      <c r="J67" s="125"/>
      <c r="K67" s="125"/>
      <c r="L67" s="125"/>
      <c r="M67" s="125"/>
      <c r="N67" s="125"/>
      <c r="O67" s="125"/>
      <c r="P67" s="127"/>
      <c r="Q67" s="127"/>
      <c r="R67" s="127"/>
      <c r="S67" s="127"/>
      <c r="T67" s="127"/>
      <c r="U67" s="127"/>
      <c r="V67" s="127"/>
      <c r="W67" s="127"/>
      <c r="X67" s="127"/>
      <c r="Y67" s="127"/>
      <c r="Z67" s="127"/>
      <c r="AA67" s="127"/>
      <c r="AB67" s="127"/>
      <c r="AC67" s="127"/>
      <c r="AD67" s="127"/>
    </row>
    <row r="68" spans="4:30" x14ac:dyDescent="0.3">
      <c r="D68" s="149">
        <f>DATE(selected_year, 4, 1)</f>
        <v>45383</v>
      </c>
      <c r="E68" s="111" t="s">
        <v>4</v>
      </c>
      <c r="F68" s="111"/>
      <c r="G68" s="111"/>
      <c r="H68" s="111"/>
      <c r="I68" s="111">
        <f>MONTH(D68)</f>
        <v>4</v>
      </c>
      <c r="J68" s="111">
        <f>IF(selected_period="Total Year", 1, IF(selected_period=cc_month_number, 1, 0))</f>
        <v>1</v>
      </c>
      <c r="K68" s="111">
        <f t="shared" ref="K68" si="5">1*$E$50</f>
        <v>1</v>
      </c>
      <c r="L68" s="111">
        <f t="shared" ref="L68" si="6">1*$E$53</f>
        <v>1</v>
      </c>
      <c r="M68" s="111"/>
      <c r="N68" s="111"/>
      <c r="O68" s="111"/>
      <c r="P68" s="130" cm="1">
        <f t="array" ref="P68" xml:space="preserve">  SUM( Tracking[Amount] * (Tracking[Type]=cc_type) * (YEAR(Tracking[Effective Date])=selected_year) * (MONTH(Tracking[Effective Date])=cc_month_number))</f>
        <v>0</v>
      </c>
      <c r="Q68" s="130" cm="1">
        <f t="array" aca="1" ref="Q68" ca="1">INDEX('Budget planning'!$E:$DY, income_total_row, MATCH(DATE(selected_year, cc_month_number, 1), 'Budget planning'!$E$10:$DY$10, 0) )</f>
        <v>2500</v>
      </c>
      <c r="R68" s="130">
        <f ca="1">cc_budget-cc_tracked</f>
        <v>2500</v>
      </c>
      <c r="S68">
        <f ca="1">cc_in_focus * cc_show_type * MIN(cc_tracked, cc_budget)</f>
        <v>0</v>
      </c>
      <c r="W68">
        <f ca="1">cc_in_focus * cc_show_type *cc_show_remaining_Budget * IF(cc_delta&gt;0, cc_delta, 0)</f>
        <v>2500</v>
      </c>
      <c r="X68" s="126">
        <f ca="1">cc_in_focus * cc_show_type *IF(cc_delta&lt;0, ABS(cc_delta), 0)</f>
        <v>0</v>
      </c>
      <c r="Y68">
        <f ca="1">NOT(cc_in_focus) * cc_show_type * MIN(cc_tracked, cc_budget)</f>
        <v>0</v>
      </c>
      <c r="AC68">
        <f ca="1">NOT(cc_in_focus) * cc_show_type *cc_show_remaining_Budget * IF(cc_delta&gt;0, cc_delta, 0)</f>
        <v>0</v>
      </c>
      <c r="AD68" s="126">
        <f ca="1">NOT(cc_in_focus) * cc_show_type *IF(cc_delta&lt;0, ABS(cc_delta), 0)</f>
        <v>0</v>
      </c>
    </row>
    <row r="69" spans="4:30" x14ac:dyDescent="0.3">
      <c r="D69" s="149"/>
      <c r="E69" s="111" t="s">
        <v>9</v>
      </c>
      <c r="F69" s="111"/>
      <c r="G69" s="111"/>
      <c r="H69" s="111"/>
      <c r="I69" s="111">
        <f>MONTH(D68)</f>
        <v>4</v>
      </c>
      <c r="J69" s="111">
        <f>IF(selected_period="Total Year", 1, IF(selected_period=cc_month_number, 1, 0))</f>
        <v>1</v>
      </c>
      <c r="K69" s="111">
        <f t="shared" ref="K69" si="7">1*$E$51</f>
        <v>1</v>
      </c>
      <c r="L69" s="111">
        <f t="shared" si="0"/>
        <v>1</v>
      </c>
      <c r="M69" s="111"/>
      <c r="N69" s="111"/>
      <c r="O69" s="111"/>
      <c r="P69" s="130" cm="1">
        <f t="array" ref="P69" xml:space="preserve">  SUM( Tracking[Amount] * (Tracking[Type]=cc_type) * (YEAR(Tracking[Effective Date])=selected_year) * (MONTH(Tracking[Effective Date])=cc_month_number))</f>
        <v>0</v>
      </c>
      <c r="Q69" s="130" cm="1">
        <f t="array" aca="1" ref="Q69" ca="1">INDEX('Budget planning'!$E:$DY, expenses_total_row, MATCH(DATE(selected_year, cc_month_number, 1), 'Budget planning'!$E$10:$DY$10, 0) )</f>
        <v>1895</v>
      </c>
      <c r="R69" s="130">
        <f ca="1">cc_budget-cc_tracked</f>
        <v>1895</v>
      </c>
      <c r="S69">
        <f ca="1">cc_in_focus * cc_show_type * MIN(cc_tracked, cc_budget)</f>
        <v>0</v>
      </c>
      <c r="W69">
        <f ca="1">cc_in_focus * cc_show_type *cc_show_remaining_Budget * IF(cc_delta&gt;0, cc_delta, 0)</f>
        <v>1895</v>
      </c>
      <c r="X69" s="126">
        <f ca="1">cc_in_focus * cc_show_type *IF(cc_delta&lt;0, ABS(cc_delta), 0)</f>
        <v>0</v>
      </c>
      <c r="Y69">
        <f ca="1">NOT(cc_in_focus) * cc_show_type * MIN(cc_tracked, cc_budget)</f>
        <v>0</v>
      </c>
      <c r="AC69">
        <f ca="1">NOT(cc_in_focus) * cc_show_type *cc_show_remaining_Budget * IF(cc_delta&gt;0, cc_delta, 0)</f>
        <v>0</v>
      </c>
      <c r="AD69" s="126">
        <f ca="1">NOT(cc_in_focus) * cc_show_type *IF(cc_delta&lt;0, ABS(cc_delta), 0)</f>
        <v>0</v>
      </c>
    </row>
    <row r="70" spans="4:30" x14ac:dyDescent="0.3">
      <c r="D70" s="149"/>
      <c r="E70" s="111" t="s">
        <v>13</v>
      </c>
      <c r="F70" s="111"/>
      <c r="G70" s="111"/>
      <c r="H70" s="111"/>
      <c r="I70" s="111">
        <f>MONTH(D68)</f>
        <v>4</v>
      </c>
      <c r="J70" s="111">
        <f>IF(selected_period="Total Year", 1, IF(selected_period=cc_month_number, 1, 0))</f>
        <v>1</v>
      </c>
      <c r="K70" s="111">
        <f t="shared" ref="K70" si="8">1*$E$52</f>
        <v>1</v>
      </c>
      <c r="L70" s="111">
        <f t="shared" si="0"/>
        <v>1</v>
      </c>
      <c r="M70" s="111"/>
      <c r="N70" s="111"/>
      <c r="O70" s="111"/>
      <c r="P70" s="130" cm="1">
        <f t="array" ref="P70" xml:space="preserve">  SUM( Tracking[Amount] * (Tracking[Type]=cc_type) * (YEAR(Tracking[Effective Date])=selected_year) * (MONTH(Tracking[Effective Date])=cc_month_number))</f>
        <v>0</v>
      </c>
      <c r="Q70" s="130" cm="1">
        <f t="array" aca="1" ref="Q70" ca="1">INDEX('Budget planning'!$E:$DY, savings_total_row, MATCH(DATE(selected_year, cc_month_number, 1), 'Budget planning'!$E$10:$DY$10, 0) )</f>
        <v>500</v>
      </c>
      <c r="R70" s="130">
        <f ca="1">cc_budget-cc_tracked</f>
        <v>500</v>
      </c>
      <c r="S70">
        <f ca="1">cc_in_focus * cc_show_type * MIN(cc_tracked, cc_budget)</f>
        <v>0</v>
      </c>
      <c r="W70">
        <f ca="1">cc_in_focus * cc_show_type *cc_show_remaining_Budget * IF(cc_delta&gt;0, cc_delta, 0)</f>
        <v>500</v>
      </c>
      <c r="X70" s="126">
        <f ca="1">cc_in_focus * cc_show_type *IF(cc_delta&lt;0, ABS(cc_delta), 0)</f>
        <v>0</v>
      </c>
      <c r="Y70">
        <f ca="1">NOT(cc_in_focus) * cc_show_type * MIN(cc_tracked, cc_budget)</f>
        <v>0</v>
      </c>
      <c r="AC70">
        <f ca="1">NOT(cc_in_focus) * cc_show_type *cc_show_remaining_Budget * IF(cc_delta&gt;0, cc_delta, 0)</f>
        <v>0</v>
      </c>
      <c r="AD70" s="126">
        <f ca="1">NOT(cc_in_focus) * cc_show_type *IF(cc_delta&lt;0, ABS(cc_delta), 0)</f>
        <v>0</v>
      </c>
    </row>
    <row r="71" spans="4:30" x14ac:dyDescent="0.3">
      <c r="D71" s="150"/>
      <c r="E71" s="125"/>
      <c r="F71" s="125"/>
      <c r="G71" s="125"/>
      <c r="H71" s="125"/>
      <c r="I71" s="125"/>
      <c r="J71" s="125"/>
      <c r="K71" s="125"/>
      <c r="L71" s="125"/>
      <c r="M71" s="125"/>
      <c r="N71" s="125"/>
      <c r="O71" s="125"/>
      <c r="P71" s="127"/>
      <c r="Q71" s="127"/>
      <c r="R71" s="127"/>
      <c r="S71" s="127"/>
      <c r="T71" s="127"/>
      <c r="U71" s="127"/>
      <c r="V71" s="127"/>
      <c r="W71" s="127"/>
      <c r="X71" s="127"/>
      <c r="Y71" s="127"/>
      <c r="Z71" s="127"/>
      <c r="AA71" s="127"/>
      <c r="AB71" s="127"/>
      <c r="AC71" s="127"/>
      <c r="AD71" s="127"/>
    </row>
    <row r="72" spans="4:30" x14ac:dyDescent="0.3">
      <c r="D72" s="149">
        <f>DATE(selected_year, 5, 1)</f>
        <v>45413</v>
      </c>
      <c r="E72" s="111" t="s">
        <v>4</v>
      </c>
      <c r="F72" s="111"/>
      <c r="G72" s="111"/>
      <c r="H72" s="111"/>
      <c r="I72" s="111">
        <f t="shared" ref="I72" si="9">MONTH(D72)</f>
        <v>5</v>
      </c>
      <c r="J72" s="111">
        <f>IF(selected_period="Total Year", 1, IF(selected_period=cc_month_number, 1, 0))</f>
        <v>1</v>
      </c>
      <c r="K72" s="111">
        <f t="shared" ref="K72" si="10">1*$E$50</f>
        <v>1</v>
      </c>
      <c r="L72" s="111">
        <f t="shared" ref="L72" si="11">1*$E$53</f>
        <v>1</v>
      </c>
      <c r="M72" s="111"/>
      <c r="N72" s="111"/>
      <c r="O72" s="111"/>
      <c r="P72" s="130" cm="1">
        <f t="array" ref="P72" xml:space="preserve">  SUM( Tracking[Amount] * (Tracking[Type]=cc_type) * (YEAR(Tracking[Effective Date])=selected_year) * (MONTH(Tracking[Effective Date])=cc_month_number))</f>
        <v>0</v>
      </c>
      <c r="Q72" s="130" cm="1">
        <f t="array" aca="1" ref="Q72" ca="1">INDEX('Budget planning'!$E:$DY, income_total_row, MATCH(DATE(selected_year, cc_month_number, 1), 'Budget planning'!$E$10:$DY$10, 0) )</f>
        <v>2500</v>
      </c>
      <c r="R72" s="130">
        <f ca="1">cc_budget-cc_tracked</f>
        <v>2500</v>
      </c>
      <c r="S72">
        <f ca="1">cc_in_focus * cc_show_type * MIN(cc_tracked, cc_budget)</f>
        <v>0</v>
      </c>
      <c r="W72">
        <f ca="1">cc_in_focus * cc_show_type *cc_show_remaining_Budget * IF(cc_delta&gt;0, cc_delta, 0)</f>
        <v>2500</v>
      </c>
      <c r="X72" s="126">
        <f ca="1">cc_in_focus * cc_show_type *IF(cc_delta&lt;0, ABS(cc_delta), 0)</f>
        <v>0</v>
      </c>
      <c r="Y72">
        <f ca="1">NOT(cc_in_focus) * cc_show_type * MIN(cc_tracked, cc_budget)</f>
        <v>0</v>
      </c>
      <c r="AC72">
        <f ca="1">NOT(cc_in_focus) * cc_show_type *cc_show_remaining_Budget * IF(cc_delta&gt;0, cc_delta, 0)</f>
        <v>0</v>
      </c>
      <c r="AD72" s="126">
        <f ca="1">NOT(cc_in_focus) * cc_show_type *IF(cc_delta&lt;0, ABS(cc_delta), 0)</f>
        <v>0</v>
      </c>
    </row>
    <row r="73" spans="4:30" x14ac:dyDescent="0.3">
      <c r="D73" s="149"/>
      <c r="E73" s="111" t="s">
        <v>9</v>
      </c>
      <c r="F73" s="111"/>
      <c r="G73" s="111"/>
      <c r="H73" s="111"/>
      <c r="I73" s="111">
        <f t="shared" ref="I73" si="12">MONTH(D72)</f>
        <v>5</v>
      </c>
      <c r="J73" s="111">
        <f>IF(selected_period="Total Year", 1, IF(selected_period=cc_month_number, 1, 0))</f>
        <v>1</v>
      </c>
      <c r="K73" s="111">
        <f t="shared" ref="K73" si="13">1*$E$51</f>
        <v>1</v>
      </c>
      <c r="L73" s="111">
        <f t="shared" si="0"/>
        <v>1</v>
      </c>
      <c r="M73" s="111"/>
      <c r="N73" s="111"/>
      <c r="O73" s="111"/>
      <c r="P73" s="130" cm="1">
        <f t="array" ref="P73" xml:space="preserve">  SUM( Tracking[Amount] * (Tracking[Type]=cc_type) * (YEAR(Tracking[Effective Date])=selected_year) * (MONTH(Tracking[Effective Date])=cc_month_number))</f>
        <v>0</v>
      </c>
      <c r="Q73" s="130" cm="1">
        <f t="array" aca="1" ref="Q73" ca="1">INDEX('Budget planning'!$E:$DY, expenses_total_row, MATCH(DATE(selected_year, cc_month_number, 1), 'Budget planning'!$E$10:$DY$10, 0) )</f>
        <v>1895</v>
      </c>
      <c r="R73" s="130">
        <f ca="1">cc_budget-cc_tracked</f>
        <v>1895</v>
      </c>
      <c r="S73">
        <f ca="1">cc_in_focus * cc_show_type * MIN(cc_tracked, cc_budget)</f>
        <v>0</v>
      </c>
      <c r="W73">
        <f ca="1">cc_in_focus * cc_show_type *cc_show_remaining_Budget * IF(cc_delta&gt;0, cc_delta, 0)</f>
        <v>1895</v>
      </c>
      <c r="X73" s="126">
        <f ca="1">cc_in_focus * cc_show_type *IF(cc_delta&lt;0, ABS(cc_delta), 0)</f>
        <v>0</v>
      </c>
      <c r="Y73">
        <f ca="1">NOT(cc_in_focus) * cc_show_type * MIN(cc_tracked, cc_budget)</f>
        <v>0</v>
      </c>
      <c r="AC73">
        <f ca="1">NOT(cc_in_focus) * cc_show_type *cc_show_remaining_Budget * IF(cc_delta&gt;0, cc_delta, 0)</f>
        <v>0</v>
      </c>
      <c r="AD73" s="126">
        <f ca="1">NOT(cc_in_focus) * cc_show_type *IF(cc_delta&lt;0, ABS(cc_delta), 0)</f>
        <v>0</v>
      </c>
    </row>
    <row r="74" spans="4:30" x14ac:dyDescent="0.3">
      <c r="D74" s="149"/>
      <c r="E74" s="111" t="s">
        <v>13</v>
      </c>
      <c r="F74" s="111"/>
      <c r="G74" s="111"/>
      <c r="H74" s="111"/>
      <c r="I74" s="111">
        <f t="shared" ref="I74" si="14">MONTH(D72)</f>
        <v>5</v>
      </c>
      <c r="J74" s="111">
        <f>IF(selected_period="Total Year", 1, IF(selected_period=cc_month_number, 1, 0))</f>
        <v>1</v>
      </c>
      <c r="K74" s="111">
        <f t="shared" ref="K74" si="15">1*$E$52</f>
        <v>1</v>
      </c>
      <c r="L74" s="111">
        <f t="shared" si="0"/>
        <v>1</v>
      </c>
      <c r="M74" s="111"/>
      <c r="N74" s="111"/>
      <c r="O74" s="111"/>
      <c r="P74" s="130" cm="1">
        <f t="array" ref="P74" xml:space="preserve">  SUM( Tracking[Amount] * (Tracking[Type]=cc_type) * (YEAR(Tracking[Effective Date])=selected_year) * (MONTH(Tracking[Effective Date])=cc_month_number))</f>
        <v>0</v>
      </c>
      <c r="Q74" s="130" cm="1">
        <f t="array" aca="1" ref="Q74" ca="1">INDEX('Budget planning'!$E:$DY, savings_total_row, MATCH(DATE(selected_year, cc_month_number, 1), 'Budget planning'!$E$10:$DY$10, 0) )</f>
        <v>500</v>
      </c>
      <c r="R74" s="130">
        <f ca="1">cc_budget-cc_tracked</f>
        <v>500</v>
      </c>
      <c r="S74">
        <f ca="1">cc_in_focus * cc_show_type * MIN(cc_tracked, cc_budget)</f>
        <v>0</v>
      </c>
      <c r="W74">
        <f ca="1">cc_in_focus * cc_show_type *cc_show_remaining_Budget * IF(cc_delta&gt;0, cc_delta, 0)</f>
        <v>500</v>
      </c>
      <c r="X74" s="126">
        <f ca="1">cc_in_focus * cc_show_type *IF(cc_delta&lt;0, ABS(cc_delta), 0)</f>
        <v>0</v>
      </c>
      <c r="Y74">
        <f ca="1">NOT(cc_in_focus) * cc_show_type * MIN(cc_tracked, cc_budget)</f>
        <v>0</v>
      </c>
      <c r="AC74">
        <f ca="1">NOT(cc_in_focus) * cc_show_type *cc_show_remaining_Budget * IF(cc_delta&gt;0, cc_delta, 0)</f>
        <v>0</v>
      </c>
      <c r="AD74" s="126">
        <f ca="1">NOT(cc_in_focus) * cc_show_type *IF(cc_delta&lt;0, ABS(cc_delta), 0)</f>
        <v>0</v>
      </c>
    </row>
    <row r="75" spans="4:30" x14ac:dyDescent="0.3">
      <c r="D75" s="150"/>
      <c r="E75" s="125"/>
      <c r="F75" s="125"/>
      <c r="G75" s="125"/>
      <c r="H75" s="125"/>
      <c r="I75" s="125"/>
      <c r="J75" s="125"/>
      <c r="K75" s="125"/>
      <c r="L75" s="125"/>
      <c r="M75" s="125"/>
      <c r="N75" s="125"/>
      <c r="O75" s="125"/>
      <c r="P75" s="127"/>
      <c r="Q75" s="127"/>
      <c r="R75" s="127"/>
      <c r="S75" s="127"/>
      <c r="T75" s="127"/>
      <c r="U75" s="127"/>
      <c r="V75" s="127"/>
      <c r="W75" s="127"/>
      <c r="X75" s="127"/>
      <c r="Y75" s="127"/>
      <c r="Z75" s="127"/>
      <c r="AA75" s="127"/>
      <c r="AB75" s="127"/>
      <c r="AC75" s="127"/>
      <c r="AD75" s="127"/>
    </row>
    <row r="76" spans="4:30" x14ac:dyDescent="0.3">
      <c r="D76" s="149">
        <f>DATE(selected_year, 6, 1)</f>
        <v>45444</v>
      </c>
      <c r="E76" s="111" t="s">
        <v>4</v>
      </c>
      <c r="F76" s="111"/>
      <c r="G76" s="111"/>
      <c r="H76" s="111"/>
      <c r="I76" s="111">
        <f t="shared" ref="I76" si="16">MONTH(D76)</f>
        <v>6</v>
      </c>
      <c r="J76" s="111">
        <f>IF(selected_period="Total Year", 1, IF(selected_period=cc_month_number, 1, 0))</f>
        <v>1</v>
      </c>
      <c r="K76" s="111">
        <f t="shared" ref="K76" si="17">1*$E$50</f>
        <v>1</v>
      </c>
      <c r="L76" s="111">
        <f t="shared" ref="L76" si="18">1*$E$53</f>
        <v>1</v>
      </c>
      <c r="M76" s="111"/>
      <c r="N76" s="111"/>
      <c r="O76" s="111"/>
      <c r="P76" s="130" cm="1">
        <f t="array" ref="P76" xml:space="preserve">  SUM( Tracking[Amount] * (Tracking[Type]=cc_type) * (YEAR(Tracking[Effective Date])=selected_year) * (MONTH(Tracking[Effective Date])=cc_month_number))</f>
        <v>0</v>
      </c>
      <c r="Q76" s="130" cm="1">
        <f t="array" aca="1" ref="Q76" ca="1">INDEX('Budget planning'!$E:$DY, income_total_row, MATCH(DATE(selected_year, cc_month_number, 1), 'Budget planning'!$E$10:$DY$10, 0) )</f>
        <v>2500</v>
      </c>
      <c r="R76" s="130">
        <f ca="1">cc_budget-cc_tracked</f>
        <v>2500</v>
      </c>
      <c r="S76">
        <f ca="1">cc_in_focus * cc_show_type * MIN(cc_tracked, cc_budget)</f>
        <v>0</v>
      </c>
      <c r="W76">
        <f ca="1">cc_in_focus * cc_show_type *cc_show_remaining_Budget * IF(cc_delta&gt;0, cc_delta, 0)</f>
        <v>2500</v>
      </c>
      <c r="X76" s="126">
        <f ca="1">cc_in_focus * cc_show_type *IF(cc_delta&lt;0, ABS(cc_delta), 0)</f>
        <v>0</v>
      </c>
      <c r="Y76">
        <f ca="1">NOT(cc_in_focus) * cc_show_type * MIN(cc_tracked, cc_budget)</f>
        <v>0</v>
      </c>
      <c r="AC76">
        <f ca="1">NOT(cc_in_focus) * cc_show_type *cc_show_remaining_Budget * IF(cc_delta&gt;0, cc_delta, 0)</f>
        <v>0</v>
      </c>
      <c r="AD76" s="126">
        <f ca="1">NOT(cc_in_focus) * cc_show_type *IF(cc_delta&lt;0, ABS(cc_delta), 0)</f>
        <v>0</v>
      </c>
    </row>
    <row r="77" spans="4:30" x14ac:dyDescent="0.3">
      <c r="D77" s="149"/>
      <c r="E77" s="111" t="s">
        <v>9</v>
      </c>
      <c r="F77" s="111"/>
      <c r="G77" s="111"/>
      <c r="H77" s="111"/>
      <c r="I77" s="111">
        <f t="shared" ref="I77" si="19">MONTH(D76)</f>
        <v>6</v>
      </c>
      <c r="J77" s="111">
        <f>IF(selected_period="Total Year", 1, IF(selected_period=cc_month_number, 1, 0))</f>
        <v>1</v>
      </c>
      <c r="K77" s="111">
        <f t="shared" ref="K77" si="20">1*$E$51</f>
        <v>1</v>
      </c>
      <c r="L77" s="111">
        <f t="shared" si="0"/>
        <v>1</v>
      </c>
      <c r="M77" s="111"/>
      <c r="N77" s="111"/>
      <c r="O77" s="111"/>
      <c r="P77" s="130" cm="1">
        <f t="array" ref="P77" xml:space="preserve">  SUM( Tracking[Amount] * (Tracking[Type]=cc_type) * (YEAR(Tracking[Effective Date])=selected_year) * (MONTH(Tracking[Effective Date])=cc_month_number))</f>
        <v>0</v>
      </c>
      <c r="Q77" s="130" cm="1">
        <f t="array" aca="1" ref="Q77" ca="1">INDEX('Budget planning'!$E:$DY, expenses_total_row, MATCH(DATE(selected_year, cc_month_number, 1), 'Budget planning'!$E$10:$DY$10, 0) )</f>
        <v>1895</v>
      </c>
      <c r="R77" s="130">
        <f ca="1">cc_budget-cc_tracked</f>
        <v>1895</v>
      </c>
      <c r="S77">
        <f ca="1">cc_in_focus * cc_show_type * MIN(cc_tracked, cc_budget)</f>
        <v>0</v>
      </c>
      <c r="W77">
        <f ca="1">cc_in_focus * cc_show_type *cc_show_remaining_Budget * IF(cc_delta&gt;0, cc_delta, 0)</f>
        <v>1895</v>
      </c>
      <c r="X77" s="126">
        <f ca="1">cc_in_focus * cc_show_type *IF(cc_delta&lt;0, ABS(cc_delta), 0)</f>
        <v>0</v>
      </c>
      <c r="Y77">
        <f ca="1">NOT(cc_in_focus) * cc_show_type * MIN(cc_tracked, cc_budget)</f>
        <v>0</v>
      </c>
      <c r="AC77">
        <f ca="1">NOT(cc_in_focus) * cc_show_type *cc_show_remaining_Budget * IF(cc_delta&gt;0, cc_delta, 0)</f>
        <v>0</v>
      </c>
      <c r="AD77" s="126">
        <f ca="1">NOT(cc_in_focus) * cc_show_type *IF(cc_delta&lt;0, ABS(cc_delta), 0)</f>
        <v>0</v>
      </c>
    </row>
    <row r="78" spans="4:30" x14ac:dyDescent="0.3">
      <c r="D78" s="149"/>
      <c r="E78" s="111" t="s">
        <v>13</v>
      </c>
      <c r="F78" s="111"/>
      <c r="G78" s="111"/>
      <c r="H78" s="111"/>
      <c r="I78" s="111">
        <f t="shared" ref="I78" si="21">MONTH(D76)</f>
        <v>6</v>
      </c>
      <c r="J78" s="111">
        <f>IF(selected_period="Total Year", 1, IF(selected_period=cc_month_number, 1, 0))</f>
        <v>1</v>
      </c>
      <c r="K78" s="111">
        <f t="shared" ref="K78" si="22">1*$E$52</f>
        <v>1</v>
      </c>
      <c r="L78" s="111">
        <f t="shared" si="0"/>
        <v>1</v>
      </c>
      <c r="M78" s="111"/>
      <c r="N78" s="111"/>
      <c r="O78" s="111"/>
      <c r="P78" s="130" cm="1">
        <f t="array" ref="P78" xml:space="preserve">  SUM( Tracking[Amount] * (Tracking[Type]=cc_type) * (YEAR(Tracking[Effective Date])=selected_year) * (MONTH(Tracking[Effective Date])=cc_month_number))</f>
        <v>0</v>
      </c>
      <c r="Q78" s="130" cm="1">
        <f t="array" aca="1" ref="Q78" ca="1">INDEX('Budget planning'!$E:$DY, savings_total_row, MATCH(DATE(selected_year, cc_month_number, 1), 'Budget planning'!$E$10:$DY$10, 0) )</f>
        <v>600</v>
      </c>
      <c r="R78" s="130">
        <f ca="1">cc_budget-cc_tracked</f>
        <v>600</v>
      </c>
      <c r="S78">
        <f ca="1">cc_in_focus * cc_show_type * MIN(cc_tracked, cc_budget)</f>
        <v>0</v>
      </c>
      <c r="W78">
        <f ca="1">cc_in_focus * cc_show_type *cc_show_remaining_Budget * IF(cc_delta&gt;0, cc_delta, 0)</f>
        <v>600</v>
      </c>
      <c r="X78" s="126">
        <f ca="1">cc_in_focus * cc_show_type *IF(cc_delta&lt;0, ABS(cc_delta), 0)</f>
        <v>0</v>
      </c>
      <c r="Y78">
        <f ca="1">NOT(cc_in_focus) * cc_show_type * MIN(cc_tracked, cc_budget)</f>
        <v>0</v>
      </c>
      <c r="AC78">
        <f ca="1">NOT(cc_in_focus) * cc_show_type *cc_show_remaining_Budget * IF(cc_delta&gt;0, cc_delta, 0)</f>
        <v>0</v>
      </c>
      <c r="AD78" s="126">
        <f ca="1">NOT(cc_in_focus) * cc_show_type *IF(cc_delta&lt;0, ABS(cc_delta), 0)</f>
        <v>0</v>
      </c>
    </row>
    <row r="79" spans="4:30" x14ac:dyDescent="0.3">
      <c r="D79" s="150"/>
      <c r="E79" s="125"/>
      <c r="F79" s="125"/>
      <c r="G79" s="125"/>
      <c r="H79" s="125"/>
      <c r="I79" s="125"/>
      <c r="J79" s="125"/>
      <c r="K79" s="125"/>
      <c r="L79" s="125"/>
      <c r="M79" s="125"/>
      <c r="N79" s="125"/>
      <c r="O79" s="125"/>
      <c r="P79" s="127"/>
      <c r="Q79" s="127"/>
      <c r="R79" s="127"/>
      <c r="S79" s="127"/>
      <c r="T79" s="127"/>
      <c r="U79" s="127"/>
      <c r="V79" s="127"/>
      <c r="W79" s="127"/>
      <c r="X79" s="127"/>
      <c r="Y79" s="127"/>
      <c r="Z79" s="127"/>
      <c r="AA79" s="127"/>
      <c r="AB79" s="127"/>
      <c r="AC79" s="127"/>
      <c r="AD79" s="127"/>
    </row>
    <row r="80" spans="4:30" x14ac:dyDescent="0.3">
      <c r="D80" s="149">
        <f>DATE(selected_year, 7, 1)</f>
        <v>45474</v>
      </c>
      <c r="E80" s="111" t="s">
        <v>4</v>
      </c>
      <c r="F80" s="111"/>
      <c r="G80" s="111"/>
      <c r="H80" s="111"/>
      <c r="I80" s="111">
        <f t="shared" ref="I80" si="23">MONTH(D80)</f>
        <v>7</v>
      </c>
      <c r="J80" s="111">
        <f>IF(selected_period="Total Year", 1, IF(selected_period=cc_month_number, 1, 0))</f>
        <v>1</v>
      </c>
      <c r="K80" s="111">
        <f t="shared" ref="K80" si="24">1*$E$50</f>
        <v>1</v>
      </c>
      <c r="L80" s="111">
        <f t="shared" ref="L80" si="25">1*$E$53</f>
        <v>1</v>
      </c>
      <c r="M80" s="111"/>
      <c r="N80" s="111"/>
      <c r="O80" s="111"/>
      <c r="P80" s="130" cm="1">
        <f t="array" ref="P80" xml:space="preserve">  SUM( Tracking[Amount] * (Tracking[Type]=cc_type) * (YEAR(Tracking[Effective Date])=selected_year) * (MONTH(Tracking[Effective Date])=cc_month_number))</f>
        <v>0</v>
      </c>
      <c r="Q80" s="130" cm="1">
        <f t="array" aca="1" ref="Q80" ca="1">INDEX('Budget planning'!$E:$DY, income_total_row, MATCH(DATE(selected_year, cc_month_number, 1), 'Budget planning'!$E$10:$DY$10, 0) )</f>
        <v>2500</v>
      </c>
      <c r="R80" s="130">
        <f ca="1">cc_budget-cc_tracked</f>
        <v>2500</v>
      </c>
      <c r="S80">
        <f ca="1">cc_in_focus * cc_show_type * MIN(cc_tracked, cc_budget)</f>
        <v>0</v>
      </c>
      <c r="W80">
        <f ca="1">cc_in_focus * cc_show_type *cc_show_remaining_Budget * IF(cc_delta&gt;0, cc_delta, 0)</f>
        <v>2500</v>
      </c>
      <c r="X80" s="126">
        <f ca="1">cc_in_focus * cc_show_type *IF(cc_delta&lt;0, ABS(cc_delta), 0)</f>
        <v>0</v>
      </c>
      <c r="Y80">
        <f ca="1">NOT(cc_in_focus) * cc_show_type * MIN(cc_tracked, cc_budget)</f>
        <v>0</v>
      </c>
      <c r="AC80">
        <f ca="1">NOT(cc_in_focus) * cc_show_type *cc_show_remaining_Budget * IF(cc_delta&gt;0, cc_delta, 0)</f>
        <v>0</v>
      </c>
      <c r="AD80" s="126">
        <f ca="1">NOT(cc_in_focus) * cc_show_type *IF(cc_delta&lt;0, ABS(cc_delta), 0)</f>
        <v>0</v>
      </c>
    </row>
    <row r="81" spans="4:30" x14ac:dyDescent="0.3">
      <c r="D81" s="149"/>
      <c r="E81" s="111" t="s">
        <v>9</v>
      </c>
      <c r="F81" s="111"/>
      <c r="G81" s="111"/>
      <c r="H81" s="111"/>
      <c r="I81" s="111">
        <f t="shared" ref="I81" si="26">MONTH(D80)</f>
        <v>7</v>
      </c>
      <c r="J81" s="111">
        <f>IF(selected_period="Total Year", 1, IF(selected_period=cc_month_number, 1, 0))</f>
        <v>1</v>
      </c>
      <c r="K81" s="111">
        <f t="shared" ref="K81" si="27">1*$E$51</f>
        <v>1</v>
      </c>
      <c r="L81" s="111">
        <f t="shared" si="0"/>
        <v>1</v>
      </c>
      <c r="M81" s="111"/>
      <c r="N81" s="111"/>
      <c r="O81" s="111"/>
      <c r="P81" s="130" cm="1">
        <f t="array" ref="P81" xml:space="preserve">  SUM( Tracking[Amount] * (Tracking[Type]=cc_type) * (YEAR(Tracking[Effective Date])=selected_year) * (MONTH(Tracking[Effective Date])=cc_month_number))</f>
        <v>0</v>
      </c>
      <c r="Q81" s="130" cm="1">
        <f t="array" aca="1" ref="Q81" ca="1">INDEX('Budget planning'!$E:$DY, expenses_total_row, MATCH(DATE(selected_year, cc_month_number, 1), 'Budget planning'!$E$10:$DY$10, 0) )</f>
        <v>1895</v>
      </c>
      <c r="R81" s="130">
        <f ca="1">cc_budget-cc_tracked</f>
        <v>1895</v>
      </c>
      <c r="S81">
        <f ca="1">cc_in_focus * cc_show_type * MIN(cc_tracked, cc_budget)</f>
        <v>0</v>
      </c>
      <c r="W81">
        <f ca="1">cc_in_focus * cc_show_type *cc_show_remaining_Budget * IF(cc_delta&gt;0, cc_delta, 0)</f>
        <v>1895</v>
      </c>
      <c r="X81" s="126">
        <f ca="1">cc_in_focus * cc_show_type *IF(cc_delta&lt;0, ABS(cc_delta), 0)</f>
        <v>0</v>
      </c>
      <c r="Y81">
        <f ca="1">NOT(cc_in_focus) * cc_show_type * MIN(cc_tracked, cc_budget)</f>
        <v>0</v>
      </c>
      <c r="AC81">
        <f ca="1">NOT(cc_in_focus) * cc_show_type *cc_show_remaining_Budget * IF(cc_delta&gt;0, cc_delta, 0)</f>
        <v>0</v>
      </c>
      <c r="AD81" s="126">
        <f ca="1">NOT(cc_in_focus) * cc_show_type *IF(cc_delta&lt;0, ABS(cc_delta), 0)</f>
        <v>0</v>
      </c>
    </row>
    <row r="82" spans="4:30" x14ac:dyDescent="0.3">
      <c r="D82" s="149"/>
      <c r="E82" s="111" t="s">
        <v>13</v>
      </c>
      <c r="F82" s="111"/>
      <c r="G82" s="111"/>
      <c r="H82" s="111"/>
      <c r="I82" s="111">
        <f t="shared" ref="I82" si="28">MONTH(D80)</f>
        <v>7</v>
      </c>
      <c r="J82" s="111">
        <f>IF(selected_period="Total Year", 1, IF(selected_period=cc_month_number, 1, 0))</f>
        <v>1</v>
      </c>
      <c r="K82" s="111">
        <f t="shared" ref="K82" si="29">1*$E$52</f>
        <v>1</v>
      </c>
      <c r="L82" s="111">
        <f t="shared" si="0"/>
        <v>1</v>
      </c>
      <c r="M82" s="111"/>
      <c r="N82" s="111"/>
      <c r="O82" s="111"/>
      <c r="P82" s="130" cm="1">
        <f t="array" ref="P82" xml:space="preserve">  SUM( Tracking[Amount] * (Tracking[Type]=cc_type) * (YEAR(Tracking[Effective Date])=selected_year) * (MONTH(Tracking[Effective Date])=cc_month_number))</f>
        <v>0</v>
      </c>
      <c r="Q82" s="130" cm="1">
        <f t="array" aca="1" ref="Q82" ca="1">INDEX('Budget planning'!$E:$DY, savings_total_row, MATCH(DATE(selected_year, cc_month_number, 1), 'Budget planning'!$E$10:$DY$10, 0) )</f>
        <v>500</v>
      </c>
      <c r="R82" s="130">
        <f ca="1">cc_budget-cc_tracked</f>
        <v>500</v>
      </c>
      <c r="S82">
        <f ca="1">cc_in_focus * cc_show_type * MIN(cc_tracked, cc_budget)</f>
        <v>0</v>
      </c>
      <c r="W82">
        <f ca="1">cc_in_focus * cc_show_type *cc_show_remaining_Budget * IF(cc_delta&gt;0, cc_delta, 0)</f>
        <v>500</v>
      </c>
      <c r="X82" s="126">
        <f ca="1">cc_in_focus * cc_show_type *IF(cc_delta&lt;0, ABS(cc_delta), 0)</f>
        <v>0</v>
      </c>
      <c r="Y82">
        <f ca="1">NOT(cc_in_focus) * cc_show_type * MIN(cc_tracked, cc_budget)</f>
        <v>0</v>
      </c>
      <c r="AC82">
        <f ca="1">NOT(cc_in_focus) * cc_show_type *cc_show_remaining_Budget * IF(cc_delta&gt;0, cc_delta, 0)</f>
        <v>0</v>
      </c>
      <c r="AD82" s="126">
        <f ca="1">NOT(cc_in_focus) * cc_show_type *IF(cc_delta&lt;0, ABS(cc_delta), 0)</f>
        <v>0</v>
      </c>
    </row>
    <row r="83" spans="4:30" x14ac:dyDescent="0.3">
      <c r="D83" s="150"/>
      <c r="E83" s="125"/>
      <c r="F83" s="125"/>
      <c r="G83" s="125"/>
      <c r="H83" s="125"/>
      <c r="I83" s="125"/>
      <c r="J83" s="125"/>
      <c r="K83" s="125"/>
      <c r="L83" s="125"/>
      <c r="M83" s="125"/>
      <c r="N83" s="125"/>
      <c r="O83" s="125"/>
      <c r="P83" s="127"/>
      <c r="Q83" s="127"/>
      <c r="R83" s="127"/>
      <c r="S83" s="127"/>
      <c r="T83" s="127"/>
      <c r="U83" s="127"/>
      <c r="V83" s="127"/>
      <c r="W83" s="127"/>
      <c r="X83" s="127"/>
      <c r="Y83" s="127"/>
      <c r="Z83" s="127"/>
      <c r="AA83" s="127"/>
      <c r="AB83" s="127"/>
      <c r="AC83" s="127"/>
      <c r="AD83" s="127"/>
    </row>
    <row r="84" spans="4:30" x14ac:dyDescent="0.3">
      <c r="D84" s="149">
        <f>DATE(selected_year, 8, 1)</f>
        <v>45505</v>
      </c>
      <c r="E84" s="111" t="s">
        <v>4</v>
      </c>
      <c r="F84" s="111"/>
      <c r="G84" s="111"/>
      <c r="H84" s="111"/>
      <c r="I84" s="111">
        <f t="shared" ref="I84" si="30">MONTH(D84)</f>
        <v>8</v>
      </c>
      <c r="J84" s="111">
        <f>IF(selected_period="Total Year", 1, IF(selected_period=cc_month_number, 1, 0))</f>
        <v>1</v>
      </c>
      <c r="K84" s="111">
        <f t="shared" ref="K84" si="31">1*$E$50</f>
        <v>1</v>
      </c>
      <c r="L84" s="111">
        <f t="shared" ref="L84" si="32">1*$E$53</f>
        <v>1</v>
      </c>
      <c r="M84" s="111"/>
      <c r="N84" s="111"/>
      <c r="O84" s="111"/>
      <c r="P84" s="130" cm="1">
        <f t="array" ref="P84" xml:space="preserve">  SUM( Tracking[Amount] * (Tracking[Type]=cc_type) * (YEAR(Tracking[Effective Date])=selected_year) * (MONTH(Tracking[Effective Date])=cc_month_number))</f>
        <v>0</v>
      </c>
      <c r="Q84" s="130" cm="1">
        <f t="array" aca="1" ref="Q84" ca="1">INDEX('Budget planning'!$E:$DY, income_total_row, MATCH(DATE(selected_year, cc_month_number, 1), 'Budget planning'!$E$10:$DY$10, 0) )</f>
        <v>2500</v>
      </c>
      <c r="R84" s="130">
        <f ca="1">cc_budget-cc_tracked</f>
        <v>2500</v>
      </c>
      <c r="S84">
        <f ca="1">cc_in_focus * cc_show_type * MIN(cc_tracked, cc_budget)</f>
        <v>0</v>
      </c>
      <c r="W84">
        <f ca="1">cc_in_focus * cc_show_type *cc_show_remaining_Budget * IF(cc_delta&gt;0, cc_delta, 0)</f>
        <v>2500</v>
      </c>
      <c r="X84" s="126">
        <f ca="1">cc_in_focus * cc_show_type *IF(cc_delta&lt;0, ABS(cc_delta), 0)</f>
        <v>0</v>
      </c>
      <c r="Y84">
        <f ca="1">NOT(cc_in_focus) * cc_show_type * MIN(cc_tracked, cc_budget)</f>
        <v>0</v>
      </c>
      <c r="AC84">
        <f ca="1">NOT(cc_in_focus) * cc_show_type *cc_show_remaining_Budget * IF(cc_delta&gt;0, cc_delta, 0)</f>
        <v>0</v>
      </c>
      <c r="AD84" s="126">
        <f ca="1">NOT(cc_in_focus) * cc_show_type *IF(cc_delta&lt;0, ABS(cc_delta), 0)</f>
        <v>0</v>
      </c>
    </row>
    <row r="85" spans="4:30" x14ac:dyDescent="0.3">
      <c r="D85" s="149"/>
      <c r="E85" s="111" t="s">
        <v>9</v>
      </c>
      <c r="F85" s="111"/>
      <c r="G85" s="111"/>
      <c r="H85" s="111"/>
      <c r="I85" s="111">
        <f t="shared" ref="I85" si="33">MONTH(D84)</f>
        <v>8</v>
      </c>
      <c r="J85" s="111">
        <f>IF(selected_period="Total Year", 1, IF(selected_period=cc_month_number, 1, 0))</f>
        <v>1</v>
      </c>
      <c r="K85" s="111">
        <f t="shared" ref="K85" si="34">1*$E$51</f>
        <v>1</v>
      </c>
      <c r="L85" s="111">
        <f t="shared" si="0"/>
        <v>1</v>
      </c>
      <c r="M85" s="111"/>
      <c r="N85" s="111"/>
      <c r="O85" s="111"/>
      <c r="P85" s="130" cm="1">
        <f t="array" ref="P85" xml:space="preserve">  SUM( Tracking[Amount] * (Tracking[Type]=cc_type) * (YEAR(Tracking[Effective Date])=selected_year) * (MONTH(Tracking[Effective Date])=cc_month_number))</f>
        <v>0</v>
      </c>
      <c r="Q85" s="130" cm="1">
        <f t="array" aca="1" ref="Q85" ca="1">INDEX('Budget planning'!$E:$DY, expenses_total_row, MATCH(DATE(selected_year, cc_month_number, 1), 'Budget planning'!$E$10:$DY$10, 0) )</f>
        <v>1895</v>
      </c>
      <c r="R85" s="130">
        <f ca="1">cc_budget-cc_tracked</f>
        <v>1895</v>
      </c>
      <c r="S85">
        <f ca="1">cc_in_focus * cc_show_type * MIN(cc_tracked, cc_budget)</f>
        <v>0</v>
      </c>
      <c r="W85">
        <f ca="1">cc_in_focus * cc_show_type *cc_show_remaining_Budget * IF(cc_delta&gt;0, cc_delta, 0)</f>
        <v>1895</v>
      </c>
      <c r="X85" s="126">
        <f ca="1">cc_in_focus * cc_show_type *IF(cc_delta&lt;0, ABS(cc_delta), 0)</f>
        <v>0</v>
      </c>
      <c r="Y85">
        <f ca="1">NOT(cc_in_focus) * cc_show_type * MIN(cc_tracked, cc_budget)</f>
        <v>0</v>
      </c>
      <c r="AC85">
        <f ca="1">NOT(cc_in_focus) * cc_show_type *cc_show_remaining_Budget * IF(cc_delta&gt;0, cc_delta, 0)</f>
        <v>0</v>
      </c>
      <c r="AD85" s="126">
        <f ca="1">NOT(cc_in_focus) * cc_show_type *IF(cc_delta&lt;0, ABS(cc_delta), 0)</f>
        <v>0</v>
      </c>
    </row>
    <row r="86" spans="4:30" x14ac:dyDescent="0.3">
      <c r="D86" s="149"/>
      <c r="E86" s="111" t="s">
        <v>13</v>
      </c>
      <c r="F86" s="111"/>
      <c r="G86" s="111"/>
      <c r="H86" s="111"/>
      <c r="I86" s="111">
        <f t="shared" ref="I86" si="35">MONTH(D84)</f>
        <v>8</v>
      </c>
      <c r="J86" s="111">
        <f>IF(selected_period="Total Year", 1, IF(selected_period=cc_month_number, 1, 0))</f>
        <v>1</v>
      </c>
      <c r="K86" s="111">
        <f t="shared" ref="K86" si="36">1*$E$52</f>
        <v>1</v>
      </c>
      <c r="L86" s="111">
        <f t="shared" si="0"/>
        <v>1</v>
      </c>
      <c r="M86" s="111"/>
      <c r="N86" s="111"/>
      <c r="O86" s="111"/>
      <c r="P86" s="130" cm="1">
        <f t="array" ref="P86" xml:space="preserve">  SUM( Tracking[Amount] * (Tracking[Type]=cc_type) * (YEAR(Tracking[Effective Date])=selected_year) * (MONTH(Tracking[Effective Date])=cc_month_number))</f>
        <v>0</v>
      </c>
      <c r="Q86" s="130" cm="1">
        <f t="array" aca="1" ref="Q86" ca="1">INDEX('Budget planning'!$E:$DY, savings_total_row, MATCH(DATE(selected_year, cc_month_number, 1), 'Budget planning'!$E$10:$DY$10, 0) )</f>
        <v>500</v>
      </c>
      <c r="R86" s="130">
        <f ca="1">cc_budget-cc_tracked</f>
        <v>500</v>
      </c>
      <c r="S86">
        <f ca="1">cc_in_focus * cc_show_type * MIN(cc_tracked, cc_budget)</f>
        <v>0</v>
      </c>
      <c r="W86">
        <f ca="1">cc_in_focus * cc_show_type *cc_show_remaining_Budget * IF(cc_delta&gt;0, cc_delta, 0)</f>
        <v>500</v>
      </c>
      <c r="X86" s="126">
        <f ca="1">cc_in_focus * cc_show_type *IF(cc_delta&lt;0, ABS(cc_delta), 0)</f>
        <v>0</v>
      </c>
      <c r="Y86">
        <f ca="1">NOT(cc_in_focus) * cc_show_type * MIN(cc_tracked, cc_budget)</f>
        <v>0</v>
      </c>
      <c r="AC86">
        <f ca="1">NOT(cc_in_focus) * cc_show_type *cc_show_remaining_Budget * IF(cc_delta&gt;0, cc_delta, 0)</f>
        <v>0</v>
      </c>
      <c r="AD86" s="126">
        <f ca="1">NOT(cc_in_focus) * cc_show_type *IF(cc_delta&lt;0, ABS(cc_delta), 0)</f>
        <v>0</v>
      </c>
    </row>
    <row r="87" spans="4:30" x14ac:dyDescent="0.3">
      <c r="D87" s="150"/>
      <c r="E87" s="125"/>
      <c r="F87" s="125"/>
      <c r="G87" s="125"/>
      <c r="H87" s="125"/>
      <c r="I87" s="125"/>
      <c r="J87" s="125"/>
      <c r="K87" s="125"/>
      <c r="L87" s="125"/>
      <c r="M87" s="125"/>
      <c r="N87" s="125"/>
      <c r="O87" s="125"/>
      <c r="P87" s="127"/>
      <c r="Q87" s="127"/>
      <c r="R87" s="127"/>
      <c r="S87" s="127"/>
      <c r="T87" s="127"/>
      <c r="U87" s="127"/>
      <c r="V87" s="127"/>
      <c r="W87" s="127"/>
      <c r="X87" s="127"/>
      <c r="Y87" s="127"/>
      <c r="Z87" s="127"/>
      <c r="AA87" s="127"/>
      <c r="AB87" s="127"/>
      <c r="AC87" s="127"/>
      <c r="AD87" s="127"/>
    </row>
    <row r="88" spans="4:30" x14ac:dyDescent="0.3">
      <c r="D88" s="149">
        <f>DATE(selected_year, 9, 1)</f>
        <v>45536</v>
      </c>
      <c r="E88" s="111" t="s">
        <v>4</v>
      </c>
      <c r="F88" s="111"/>
      <c r="G88" s="111"/>
      <c r="H88" s="111"/>
      <c r="I88" s="111">
        <f t="shared" ref="I88" si="37">MONTH(D88)</f>
        <v>9</v>
      </c>
      <c r="J88" s="111">
        <f>IF(selected_period="Total Year", 1, IF(selected_period=cc_month_number, 1, 0))</f>
        <v>1</v>
      </c>
      <c r="K88" s="111">
        <f t="shared" ref="K88" si="38">1*$E$50</f>
        <v>1</v>
      </c>
      <c r="L88" s="111">
        <f t="shared" ref="L88" si="39">1*$E$53</f>
        <v>1</v>
      </c>
      <c r="M88" s="111"/>
      <c r="N88" s="111"/>
      <c r="O88" s="111"/>
      <c r="P88" s="130" cm="1">
        <f t="array" ref="P88" xml:space="preserve">  SUM( Tracking[Amount] * (Tracking[Type]=cc_type) * (YEAR(Tracking[Effective Date])=selected_year) * (MONTH(Tracking[Effective Date])=cc_month_number))</f>
        <v>0</v>
      </c>
      <c r="Q88" s="130" cm="1">
        <f t="array" aca="1" ref="Q88" ca="1">INDEX('Budget planning'!$E:$DY, income_total_row, MATCH(DATE(selected_year, cc_month_number, 1), 'Budget planning'!$E$10:$DY$10, 0) )</f>
        <v>2500</v>
      </c>
      <c r="R88" s="130">
        <f ca="1">cc_budget-cc_tracked</f>
        <v>2500</v>
      </c>
      <c r="S88">
        <f ca="1">cc_in_focus * cc_show_type * MIN(cc_tracked, cc_budget)</f>
        <v>0</v>
      </c>
      <c r="W88">
        <f ca="1">cc_in_focus * cc_show_type *cc_show_remaining_Budget * IF(cc_delta&gt;0, cc_delta, 0)</f>
        <v>2500</v>
      </c>
      <c r="X88" s="126">
        <f ca="1">cc_in_focus * cc_show_type *IF(cc_delta&lt;0, ABS(cc_delta), 0)</f>
        <v>0</v>
      </c>
      <c r="Y88">
        <f ca="1">NOT(cc_in_focus) * cc_show_type * MIN(cc_tracked, cc_budget)</f>
        <v>0</v>
      </c>
      <c r="AC88">
        <f ca="1">NOT(cc_in_focus) * cc_show_type *cc_show_remaining_Budget * IF(cc_delta&gt;0, cc_delta, 0)</f>
        <v>0</v>
      </c>
      <c r="AD88" s="126">
        <f ca="1">NOT(cc_in_focus) * cc_show_type *IF(cc_delta&lt;0, ABS(cc_delta), 0)</f>
        <v>0</v>
      </c>
    </row>
    <row r="89" spans="4:30" x14ac:dyDescent="0.3">
      <c r="D89" s="149"/>
      <c r="E89" s="111" t="s">
        <v>9</v>
      </c>
      <c r="F89" s="111"/>
      <c r="G89" s="111"/>
      <c r="H89" s="111"/>
      <c r="I89" s="111">
        <f t="shared" ref="I89" si="40">MONTH(D88)</f>
        <v>9</v>
      </c>
      <c r="J89" s="111">
        <f>IF(selected_period="Total Year", 1, IF(selected_period=cc_month_number, 1, 0))</f>
        <v>1</v>
      </c>
      <c r="K89" s="111">
        <f t="shared" ref="K89" si="41">1*$E$51</f>
        <v>1</v>
      </c>
      <c r="L89" s="111">
        <f t="shared" si="0"/>
        <v>1</v>
      </c>
      <c r="M89" s="111"/>
      <c r="N89" s="111"/>
      <c r="O89" s="111"/>
      <c r="P89" s="130" cm="1">
        <f t="array" ref="P89" xml:space="preserve">  SUM( Tracking[Amount] * (Tracking[Type]=cc_type) * (YEAR(Tracking[Effective Date])=selected_year) * (MONTH(Tracking[Effective Date])=cc_month_number))</f>
        <v>0</v>
      </c>
      <c r="Q89" s="130" cm="1">
        <f t="array" aca="1" ref="Q89" ca="1">INDEX('Budget planning'!$E:$DY, expenses_total_row, MATCH(DATE(selected_year, cc_month_number, 1), 'Budget planning'!$E$10:$DY$10, 0) )</f>
        <v>1895</v>
      </c>
      <c r="R89" s="130">
        <f ca="1">cc_budget-cc_tracked</f>
        <v>1895</v>
      </c>
      <c r="S89">
        <f ca="1">cc_in_focus * cc_show_type * MIN(cc_tracked, cc_budget)</f>
        <v>0</v>
      </c>
      <c r="W89">
        <f ca="1">cc_in_focus * cc_show_type *cc_show_remaining_Budget * IF(cc_delta&gt;0, cc_delta, 0)</f>
        <v>1895</v>
      </c>
      <c r="X89" s="126">
        <f ca="1">cc_in_focus * cc_show_type *IF(cc_delta&lt;0, ABS(cc_delta), 0)</f>
        <v>0</v>
      </c>
      <c r="Y89">
        <f ca="1">NOT(cc_in_focus) * cc_show_type * MIN(cc_tracked, cc_budget)</f>
        <v>0</v>
      </c>
      <c r="AC89">
        <f ca="1">NOT(cc_in_focus) * cc_show_type *cc_show_remaining_Budget * IF(cc_delta&gt;0, cc_delta, 0)</f>
        <v>0</v>
      </c>
      <c r="AD89" s="126">
        <f ca="1">NOT(cc_in_focus) * cc_show_type *IF(cc_delta&lt;0, ABS(cc_delta), 0)</f>
        <v>0</v>
      </c>
    </row>
    <row r="90" spans="4:30" x14ac:dyDescent="0.3">
      <c r="D90" s="149"/>
      <c r="E90" s="111" t="s">
        <v>13</v>
      </c>
      <c r="F90" s="111"/>
      <c r="G90" s="111"/>
      <c r="H90" s="111"/>
      <c r="I90" s="111">
        <f t="shared" ref="I90" si="42">MONTH(D88)</f>
        <v>9</v>
      </c>
      <c r="J90" s="111">
        <f>IF(selected_period="Total Year", 1, IF(selected_period=cc_month_number, 1, 0))</f>
        <v>1</v>
      </c>
      <c r="K90" s="111">
        <f t="shared" ref="K90" si="43">1*$E$52</f>
        <v>1</v>
      </c>
      <c r="L90" s="111">
        <f t="shared" si="0"/>
        <v>1</v>
      </c>
      <c r="M90" s="111"/>
      <c r="N90" s="111"/>
      <c r="O90" s="111"/>
      <c r="P90" s="130" cm="1">
        <f t="array" ref="P90" xml:space="preserve">  SUM( Tracking[Amount] * (Tracking[Type]=cc_type) * (YEAR(Tracking[Effective Date])=selected_year) * (MONTH(Tracking[Effective Date])=cc_month_number))</f>
        <v>0</v>
      </c>
      <c r="Q90" s="130" cm="1">
        <f t="array" aca="1" ref="Q90" ca="1">INDEX('Budget planning'!$E:$DY, savings_total_row, MATCH(DATE(selected_year, cc_month_number, 1), 'Budget planning'!$E$10:$DY$10, 0) )</f>
        <v>500</v>
      </c>
      <c r="R90" s="130">
        <f ca="1">cc_budget-cc_tracked</f>
        <v>500</v>
      </c>
      <c r="S90">
        <f ca="1">cc_in_focus * cc_show_type * MIN(cc_tracked, cc_budget)</f>
        <v>0</v>
      </c>
      <c r="W90">
        <f ca="1">cc_in_focus * cc_show_type *cc_show_remaining_Budget * IF(cc_delta&gt;0, cc_delta, 0)</f>
        <v>500</v>
      </c>
      <c r="X90" s="126">
        <f ca="1">cc_in_focus * cc_show_type *IF(cc_delta&lt;0, ABS(cc_delta), 0)</f>
        <v>0</v>
      </c>
      <c r="Y90">
        <f ca="1">NOT(cc_in_focus) * cc_show_type * MIN(cc_tracked, cc_budget)</f>
        <v>0</v>
      </c>
      <c r="AC90">
        <f ca="1">NOT(cc_in_focus) * cc_show_type *cc_show_remaining_Budget * IF(cc_delta&gt;0, cc_delta, 0)</f>
        <v>0</v>
      </c>
      <c r="AD90" s="126">
        <f ca="1">NOT(cc_in_focus) * cc_show_type *IF(cc_delta&lt;0, ABS(cc_delta), 0)</f>
        <v>0</v>
      </c>
    </row>
    <row r="91" spans="4:30" x14ac:dyDescent="0.3">
      <c r="D91" s="150"/>
      <c r="E91" s="125"/>
      <c r="F91" s="125"/>
      <c r="G91" s="125"/>
      <c r="H91" s="125"/>
      <c r="I91" s="125"/>
      <c r="J91" s="125"/>
      <c r="K91" s="125"/>
      <c r="L91" s="125"/>
      <c r="M91" s="125"/>
      <c r="N91" s="125"/>
      <c r="O91" s="125"/>
      <c r="P91" s="127"/>
      <c r="Q91" s="127"/>
      <c r="R91" s="127"/>
      <c r="S91" s="127"/>
      <c r="T91" s="127"/>
      <c r="U91" s="127"/>
      <c r="V91" s="127"/>
      <c r="W91" s="127"/>
      <c r="X91" s="127"/>
      <c r="Y91" s="127"/>
      <c r="Z91" s="127"/>
      <c r="AA91" s="127"/>
      <c r="AB91" s="127"/>
      <c r="AC91" s="127"/>
      <c r="AD91" s="127"/>
    </row>
    <row r="92" spans="4:30" x14ac:dyDescent="0.3">
      <c r="D92" s="149">
        <f>DATE(selected_year, 10, 1)</f>
        <v>45566</v>
      </c>
      <c r="E92" s="111" t="s">
        <v>4</v>
      </c>
      <c r="F92" s="111"/>
      <c r="G92" s="111"/>
      <c r="H92" s="111"/>
      <c r="I92" s="111">
        <f t="shared" ref="I92" si="44">MONTH(D92)</f>
        <v>10</v>
      </c>
      <c r="J92" s="111">
        <f>IF(selected_period="Total Year", 1, IF(selected_period=cc_month_number, 1, 0))</f>
        <v>1</v>
      </c>
      <c r="K92" s="111">
        <f t="shared" ref="K92" si="45">1*$E$50</f>
        <v>1</v>
      </c>
      <c r="L92" s="111">
        <f t="shared" ref="L92" si="46">1*$E$53</f>
        <v>1</v>
      </c>
      <c r="M92" s="111"/>
      <c r="N92" s="111"/>
      <c r="O92" s="111"/>
      <c r="P92" s="130" cm="1">
        <f t="array" ref="P92" xml:space="preserve">  SUM( Tracking[Amount] * (Tracking[Type]=cc_type) * (YEAR(Tracking[Effective Date])=selected_year) * (MONTH(Tracking[Effective Date])=cc_month_number))</f>
        <v>0</v>
      </c>
      <c r="Q92" s="130" cm="1">
        <f t="array" aca="1" ref="Q92" ca="1">INDEX('Budget planning'!$E:$DY, income_total_row, MATCH(DATE(selected_year, cc_month_number, 1), 'Budget planning'!$E$10:$DY$10, 0) )</f>
        <v>2500</v>
      </c>
      <c r="R92" s="130">
        <f ca="1">cc_budget-cc_tracked</f>
        <v>2500</v>
      </c>
      <c r="S92">
        <f ca="1">cc_in_focus * cc_show_type * MIN(cc_tracked, cc_budget)</f>
        <v>0</v>
      </c>
      <c r="W92">
        <f ca="1">cc_in_focus * cc_show_type *cc_show_remaining_Budget * IF(cc_delta&gt;0, cc_delta, 0)</f>
        <v>2500</v>
      </c>
      <c r="X92" s="126">
        <f ca="1">cc_in_focus * cc_show_type *IF(cc_delta&lt;0, ABS(cc_delta), 0)</f>
        <v>0</v>
      </c>
      <c r="Y92">
        <f ca="1">NOT(cc_in_focus) * cc_show_type * MIN(cc_tracked, cc_budget)</f>
        <v>0</v>
      </c>
      <c r="AC92">
        <f ca="1">NOT(cc_in_focus) * cc_show_type *cc_show_remaining_Budget * IF(cc_delta&gt;0, cc_delta, 0)</f>
        <v>0</v>
      </c>
      <c r="AD92" s="126">
        <f ca="1">NOT(cc_in_focus) * cc_show_type *IF(cc_delta&lt;0, ABS(cc_delta), 0)</f>
        <v>0</v>
      </c>
    </row>
    <row r="93" spans="4:30" x14ac:dyDescent="0.3">
      <c r="D93" s="149"/>
      <c r="E93" s="111" t="s">
        <v>9</v>
      </c>
      <c r="F93" s="111"/>
      <c r="G93" s="111"/>
      <c r="H93" s="111"/>
      <c r="I93" s="111">
        <f t="shared" ref="I93" si="47">MONTH(D92)</f>
        <v>10</v>
      </c>
      <c r="J93" s="111">
        <f>IF(selected_period="Total Year", 1, IF(selected_period=cc_month_number, 1, 0))</f>
        <v>1</v>
      </c>
      <c r="K93" s="111">
        <f t="shared" ref="K93" si="48">1*$E$51</f>
        <v>1</v>
      </c>
      <c r="L93" s="111">
        <f t="shared" si="0"/>
        <v>1</v>
      </c>
      <c r="M93" s="111"/>
      <c r="N93" s="111"/>
      <c r="O93" s="111"/>
      <c r="P93" s="130" cm="1">
        <f t="array" ref="P93" xml:space="preserve">  SUM( Tracking[Amount] * (Tracking[Type]=cc_type) * (YEAR(Tracking[Effective Date])=selected_year) * (MONTH(Tracking[Effective Date])=cc_month_number))</f>
        <v>0</v>
      </c>
      <c r="Q93" s="130" cm="1">
        <f t="array" aca="1" ref="Q93" ca="1">INDEX('Budget planning'!$E:$DY, expenses_total_row, MATCH(DATE(selected_year, cc_month_number, 1), 'Budget planning'!$E$10:$DY$10, 0) )</f>
        <v>1895</v>
      </c>
      <c r="R93" s="130">
        <f ca="1">cc_budget-cc_tracked</f>
        <v>1895</v>
      </c>
      <c r="S93">
        <f ca="1">cc_in_focus * cc_show_type * MIN(cc_tracked, cc_budget)</f>
        <v>0</v>
      </c>
      <c r="W93">
        <f ca="1">cc_in_focus * cc_show_type *cc_show_remaining_Budget * IF(cc_delta&gt;0, cc_delta, 0)</f>
        <v>1895</v>
      </c>
      <c r="X93" s="126">
        <f ca="1">cc_in_focus * cc_show_type *IF(cc_delta&lt;0, ABS(cc_delta), 0)</f>
        <v>0</v>
      </c>
      <c r="Y93">
        <f ca="1">NOT(cc_in_focus) * cc_show_type * MIN(cc_tracked, cc_budget)</f>
        <v>0</v>
      </c>
      <c r="AC93">
        <f ca="1">NOT(cc_in_focus) * cc_show_type *cc_show_remaining_Budget * IF(cc_delta&gt;0, cc_delta, 0)</f>
        <v>0</v>
      </c>
      <c r="AD93" s="126">
        <f ca="1">NOT(cc_in_focus) * cc_show_type *IF(cc_delta&lt;0, ABS(cc_delta), 0)</f>
        <v>0</v>
      </c>
    </row>
    <row r="94" spans="4:30" x14ac:dyDescent="0.3">
      <c r="D94" s="149"/>
      <c r="E94" s="111" t="s">
        <v>13</v>
      </c>
      <c r="F94" s="111"/>
      <c r="G94" s="111"/>
      <c r="H94" s="111"/>
      <c r="I94" s="111">
        <f t="shared" ref="I94" si="49">MONTH(D92)</f>
        <v>10</v>
      </c>
      <c r="J94" s="111">
        <f>IF(selected_period="Total Year", 1, IF(selected_period=cc_month_number, 1, 0))</f>
        <v>1</v>
      </c>
      <c r="K94" s="111">
        <f t="shared" ref="K94" si="50">1*$E$52</f>
        <v>1</v>
      </c>
      <c r="L94" s="111">
        <f t="shared" si="0"/>
        <v>1</v>
      </c>
      <c r="M94" s="111"/>
      <c r="N94" s="111"/>
      <c r="O94" s="111"/>
      <c r="P94" s="130" cm="1">
        <f t="array" ref="P94" xml:space="preserve">  SUM( Tracking[Amount] * (Tracking[Type]=cc_type) * (YEAR(Tracking[Effective Date])=selected_year) * (MONTH(Tracking[Effective Date])=cc_month_number))</f>
        <v>0</v>
      </c>
      <c r="Q94" s="130" cm="1">
        <f t="array" aca="1" ref="Q94" ca="1">INDEX('Budget planning'!$E:$DY, savings_total_row, MATCH(DATE(selected_year, cc_month_number, 1), 'Budget planning'!$E$10:$DY$10, 0) )</f>
        <v>500</v>
      </c>
      <c r="R94" s="130">
        <f ca="1">cc_budget-cc_tracked</f>
        <v>500</v>
      </c>
      <c r="S94">
        <f ca="1">cc_in_focus * cc_show_type * MIN(cc_tracked, cc_budget)</f>
        <v>0</v>
      </c>
      <c r="W94">
        <f ca="1">cc_in_focus * cc_show_type *cc_show_remaining_Budget * IF(cc_delta&gt;0, cc_delta, 0)</f>
        <v>500</v>
      </c>
      <c r="X94" s="126">
        <f ca="1">cc_in_focus * cc_show_type *IF(cc_delta&lt;0, ABS(cc_delta), 0)</f>
        <v>0</v>
      </c>
      <c r="Y94">
        <f ca="1">NOT(cc_in_focus) * cc_show_type * MIN(cc_tracked, cc_budget)</f>
        <v>0</v>
      </c>
      <c r="AC94">
        <f ca="1">NOT(cc_in_focus) * cc_show_type *cc_show_remaining_Budget * IF(cc_delta&gt;0, cc_delta, 0)</f>
        <v>0</v>
      </c>
      <c r="AD94" s="126">
        <f ca="1">NOT(cc_in_focus) * cc_show_type *IF(cc_delta&lt;0, ABS(cc_delta), 0)</f>
        <v>0</v>
      </c>
    </row>
    <row r="95" spans="4:30" x14ac:dyDescent="0.3">
      <c r="D95" s="150"/>
      <c r="E95" s="125"/>
      <c r="F95" s="125"/>
      <c r="G95" s="125"/>
      <c r="H95" s="125"/>
      <c r="I95" s="125"/>
      <c r="J95" s="125"/>
      <c r="K95" s="125"/>
      <c r="L95" s="125"/>
      <c r="M95" s="125"/>
      <c r="N95" s="125"/>
      <c r="O95" s="125"/>
      <c r="P95" s="127"/>
      <c r="Q95" s="127"/>
      <c r="R95" s="127"/>
      <c r="S95" s="127"/>
      <c r="T95" s="127"/>
      <c r="U95" s="127"/>
      <c r="V95" s="127"/>
      <c r="W95" s="127"/>
      <c r="X95" s="127"/>
      <c r="Y95" s="127"/>
      <c r="Z95" s="127"/>
      <c r="AA95" s="127"/>
      <c r="AB95" s="127"/>
      <c r="AC95" s="127"/>
      <c r="AD95" s="127"/>
    </row>
    <row r="96" spans="4:30" x14ac:dyDescent="0.3">
      <c r="D96" s="149">
        <f>DATE(selected_year, 11, 1)</f>
        <v>45597</v>
      </c>
      <c r="E96" s="111" t="s">
        <v>4</v>
      </c>
      <c r="F96" s="111"/>
      <c r="G96" s="111"/>
      <c r="H96" s="111"/>
      <c r="I96" s="111">
        <f t="shared" ref="I96" si="51">MONTH(D96)</f>
        <v>11</v>
      </c>
      <c r="J96" s="111">
        <f>IF(selected_period="Total Year", 1, IF(selected_period=cc_month_number, 1, 0))</f>
        <v>1</v>
      </c>
      <c r="K96" s="111">
        <f t="shared" ref="K96" si="52">1*$E$50</f>
        <v>1</v>
      </c>
      <c r="L96" s="111">
        <f t="shared" ref="L96" si="53">1*$E$53</f>
        <v>1</v>
      </c>
      <c r="M96" s="111"/>
      <c r="N96" s="111"/>
      <c r="O96" s="111"/>
      <c r="P96" s="130" cm="1">
        <f t="array" ref="P96" xml:space="preserve">  SUM( Tracking[Amount] * (Tracking[Type]=cc_type) * (YEAR(Tracking[Effective Date])=selected_year) * (MONTH(Tracking[Effective Date])=cc_month_number))</f>
        <v>0</v>
      </c>
      <c r="Q96" s="130" cm="1">
        <f t="array" aca="1" ref="Q96" ca="1">INDEX('Budget planning'!$E:$DY, income_total_row, MATCH(DATE(selected_year, cc_month_number, 1), 'Budget planning'!$E$10:$DY$10, 0) )</f>
        <v>2500</v>
      </c>
      <c r="R96" s="130">
        <f ca="1">cc_budget-cc_tracked</f>
        <v>2500</v>
      </c>
      <c r="S96">
        <f ca="1">cc_in_focus * cc_show_type * MIN(cc_tracked, cc_budget)</f>
        <v>0</v>
      </c>
      <c r="W96">
        <f ca="1">cc_in_focus * cc_show_type *cc_show_remaining_Budget * IF(cc_delta&gt;0, cc_delta, 0)</f>
        <v>2500</v>
      </c>
      <c r="X96" s="126">
        <f ca="1">cc_in_focus * cc_show_type *IF(cc_delta&lt;0, ABS(cc_delta), 0)</f>
        <v>0</v>
      </c>
      <c r="Y96">
        <f ca="1">NOT(cc_in_focus) * cc_show_type * MIN(cc_tracked, cc_budget)</f>
        <v>0</v>
      </c>
      <c r="AC96">
        <f ca="1">NOT(cc_in_focus) * cc_show_type *cc_show_remaining_Budget * IF(cc_delta&gt;0, cc_delta, 0)</f>
        <v>0</v>
      </c>
      <c r="AD96" s="126">
        <f ca="1">NOT(cc_in_focus) * cc_show_type *IF(cc_delta&lt;0, ABS(cc_delta), 0)</f>
        <v>0</v>
      </c>
    </row>
    <row r="97" spans="4:30" x14ac:dyDescent="0.3">
      <c r="D97" s="149"/>
      <c r="E97" s="111" t="s">
        <v>9</v>
      </c>
      <c r="F97" s="111"/>
      <c r="G97" s="111"/>
      <c r="H97" s="111"/>
      <c r="I97" s="111">
        <f t="shared" ref="I97" si="54">MONTH(D96)</f>
        <v>11</v>
      </c>
      <c r="J97" s="111">
        <f>IF(selected_period="Total Year", 1, IF(selected_period=cc_month_number, 1, 0))</f>
        <v>1</v>
      </c>
      <c r="K97" s="111">
        <f t="shared" ref="K97" si="55">1*$E$51</f>
        <v>1</v>
      </c>
      <c r="L97" s="111">
        <f t="shared" si="0"/>
        <v>1</v>
      </c>
      <c r="M97" s="111"/>
      <c r="N97" s="111"/>
      <c r="O97" s="111"/>
      <c r="P97" s="130" cm="1">
        <f t="array" ref="P97" xml:space="preserve">  SUM( Tracking[Amount] * (Tracking[Type]=cc_type) * (YEAR(Tracking[Effective Date])=selected_year) * (MONTH(Tracking[Effective Date])=cc_month_number))</f>
        <v>0</v>
      </c>
      <c r="Q97" s="130" cm="1">
        <f t="array" aca="1" ref="Q97" ca="1">INDEX('Budget planning'!$E:$DY, expenses_total_row, MATCH(DATE(selected_year, cc_month_number, 1), 'Budget planning'!$E$10:$DY$10, 0) )</f>
        <v>1895</v>
      </c>
      <c r="R97" s="130">
        <f ca="1">cc_budget-cc_tracked</f>
        <v>1895</v>
      </c>
      <c r="S97">
        <f ca="1">cc_in_focus * cc_show_type * MIN(cc_tracked, cc_budget)</f>
        <v>0</v>
      </c>
      <c r="W97">
        <f ca="1">cc_in_focus * cc_show_type *cc_show_remaining_Budget * IF(cc_delta&gt;0, cc_delta, 0)</f>
        <v>1895</v>
      </c>
      <c r="X97" s="126">
        <f ca="1">cc_in_focus * cc_show_type *IF(cc_delta&lt;0, ABS(cc_delta), 0)</f>
        <v>0</v>
      </c>
      <c r="Y97">
        <f ca="1">NOT(cc_in_focus) * cc_show_type * MIN(cc_tracked, cc_budget)</f>
        <v>0</v>
      </c>
      <c r="AC97">
        <f ca="1">NOT(cc_in_focus) * cc_show_type *cc_show_remaining_Budget * IF(cc_delta&gt;0, cc_delta, 0)</f>
        <v>0</v>
      </c>
      <c r="AD97" s="126">
        <f ca="1">NOT(cc_in_focus) * cc_show_type *IF(cc_delta&lt;0, ABS(cc_delta), 0)</f>
        <v>0</v>
      </c>
    </row>
    <row r="98" spans="4:30" x14ac:dyDescent="0.3">
      <c r="D98" s="149"/>
      <c r="E98" s="111" t="s">
        <v>13</v>
      </c>
      <c r="F98" s="111"/>
      <c r="G98" s="111"/>
      <c r="H98" s="111"/>
      <c r="I98" s="111">
        <f t="shared" ref="I98" si="56">MONTH(D96)</f>
        <v>11</v>
      </c>
      <c r="J98" s="111">
        <f>IF(selected_period="Total Year", 1, IF(selected_period=cc_month_number, 1, 0))</f>
        <v>1</v>
      </c>
      <c r="K98" s="111">
        <f t="shared" ref="K98" si="57">1*$E$52</f>
        <v>1</v>
      </c>
      <c r="L98" s="111">
        <f t="shared" si="0"/>
        <v>1</v>
      </c>
      <c r="M98" s="111"/>
      <c r="N98" s="111"/>
      <c r="O98" s="111"/>
      <c r="P98" s="130" cm="1">
        <f t="array" ref="P98" xml:space="preserve">  SUM( Tracking[Amount] * (Tracking[Type]=cc_type) * (YEAR(Tracking[Effective Date])=selected_year) * (MONTH(Tracking[Effective Date])=cc_month_number))</f>
        <v>0</v>
      </c>
      <c r="Q98" s="130" cm="1">
        <f t="array" aca="1" ref="Q98" ca="1">INDEX('Budget planning'!$E:$DY, savings_total_row, MATCH(DATE(selected_year, cc_month_number, 1), 'Budget planning'!$E$10:$DY$10, 0) )</f>
        <v>500</v>
      </c>
      <c r="R98" s="130">
        <f ca="1">cc_budget-cc_tracked</f>
        <v>500</v>
      </c>
      <c r="S98">
        <f ca="1">cc_in_focus * cc_show_type * MIN(cc_tracked, cc_budget)</f>
        <v>0</v>
      </c>
      <c r="W98">
        <f ca="1">cc_in_focus * cc_show_type *cc_show_remaining_Budget * IF(cc_delta&gt;0, cc_delta, 0)</f>
        <v>500</v>
      </c>
      <c r="X98" s="126">
        <f ca="1">cc_in_focus * cc_show_type *IF(cc_delta&lt;0, ABS(cc_delta), 0)</f>
        <v>0</v>
      </c>
      <c r="Y98">
        <f ca="1">NOT(cc_in_focus) * cc_show_type * MIN(cc_tracked, cc_budget)</f>
        <v>0</v>
      </c>
      <c r="AC98">
        <f ca="1">NOT(cc_in_focus) * cc_show_type *cc_show_remaining_Budget * IF(cc_delta&gt;0, cc_delta, 0)</f>
        <v>0</v>
      </c>
      <c r="AD98" s="126">
        <f ca="1">NOT(cc_in_focus) * cc_show_type *IF(cc_delta&lt;0, ABS(cc_delta), 0)</f>
        <v>0</v>
      </c>
    </row>
    <row r="99" spans="4:30" x14ac:dyDescent="0.3">
      <c r="D99" s="150"/>
      <c r="E99" s="125"/>
      <c r="F99" s="125"/>
      <c r="G99" s="125"/>
      <c r="H99" s="125"/>
      <c r="I99" s="125"/>
      <c r="J99" s="125"/>
      <c r="K99" s="125"/>
      <c r="L99" s="125"/>
      <c r="M99" s="125"/>
      <c r="N99" s="125"/>
      <c r="O99" s="125"/>
      <c r="P99" s="127"/>
      <c r="Q99" s="127"/>
      <c r="R99" s="127"/>
      <c r="S99" s="127"/>
      <c r="T99" s="127"/>
      <c r="U99" s="127"/>
      <c r="V99" s="127"/>
      <c r="W99" s="127"/>
      <c r="X99" s="127"/>
      <c r="Y99" s="127"/>
      <c r="Z99" s="127"/>
      <c r="AA99" s="127"/>
      <c r="AB99" s="127"/>
      <c r="AC99" s="127"/>
      <c r="AD99" s="127"/>
    </row>
    <row r="100" spans="4:30" x14ac:dyDescent="0.3">
      <c r="D100" s="149">
        <f>DATE(selected_year, 12, 1)</f>
        <v>45627</v>
      </c>
      <c r="E100" s="111" t="s">
        <v>4</v>
      </c>
      <c r="F100" s="111"/>
      <c r="G100" s="111"/>
      <c r="H100" s="111"/>
      <c r="I100" s="111">
        <f t="shared" ref="I100" si="58">MONTH(D100)</f>
        <v>12</v>
      </c>
      <c r="J100" s="111">
        <f>IF(selected_period="Total Year", 1, IF(selected_period=cc_month_number, 1, 0))</f>
        <v>1</v>
      </c>
      <c r="K100" s="111">
        <f t="shared" ref="K100" si="59">1*$E$50</f>
        <v>1</v>
      </c>
      <c r="L100" s="111">
        <f t="shared" ref="L100" si="60">1*$E$53</f>
        <v>1</v>
      </c>
      <c r="M100" s="111"/>
      <c r="N100" s="111"/>
      <c r="O100" s="111"/>
      <c r="P100" s="130" cm="1">
        <f t="array" ref="P100" xml:space="preserve">  SUM( Tracking[Amount] * (Tracking[Type]=cc_type) * (YEAR(Tracking[Effective Date])=selected_year) * (MONTH(Tracking[Effective Date])=cc_month_number))</f>
        <v>0</v>
      </c>
      <c r="Q100" s="130" cm="1">
        <f t="array" aca="1" ref="Q100" ca="1">INDEX('Budget planning'!$E:$DY, income_total_row, MATCH(DATE(selected_year, cc_month_number, 1), 'Budget planning'!$E$10:$DY$10, 0) )</f>
        <v>2500</v>
      </c>
      <c r="R100" s="130">
        <f ca="1">cc_budget-cc_tracked</f>
        <v>2500</v>
      </c>
      <c r="S100">
        <f ca="1">cc_in_focus * cc_show_type * MIN(cc_tracked, cc_budget)</f>
        <v>0</v>
      </c>
      <c r="W100">
        <f ca="1">cc_in_focus * cc_show_type *cc_show_remaining_Budget * IF(cc_delta&gt;0, cc_delta, 0)</f>
        <v>2500</v>
      </c>
      <c r="X100" s="126">
        <f ca="1">cc_in_focus * cc_show_type *IF(cc_delta&lt;0, ABS(cc_delta), 0)</f>
        <v>0</v>
      </c>
      <c r="Y100">
        <f ca="1">NOT(cc_in_focus) * cc_show_type * MIN(cc_tracked, cc_budget)</f>
        <v>0</v>
      </c>
      <c r="AC100">
        <f ca="1">NOT(cc_in_focus) * cc_show_type *cc_show_remaining_Budget * IF(cc_delta&gt;0, cc_delta, 0)</f>
        <v>0</v>
      </c>
      <c r="AD100" s="126">
        <f ca="1">NOT(cc_in_focus) * cc_show_type *IF(cc_delta&lt;0, ABS(cc_delta), 0)</f>
        <v>0</v>
      </c>
    </row>
    <row r="101" spans="4:30" x14ac:dyDescent="0.3">
      <c r="D101" s="149"/>
      <c r="E101" s="111" t="s">
        <v>9</v>
      </c>
      <c r="F101" s="111"/>
      <c r="G101" s="111"/>
      <c r="H101" s="111"/>
      <c r="I101" s="111">
        <f t="shared" ref="I101" si="61">MONTH(D100)</f>
        <v>12</v>
      </c>
      <c r="J101" s="111">
        <f>IF(selected_period="Total Year", 1, IF(selected_period=cc_month_number, 1, 0))</f>
        <v>1</v>
      </c>
      <c r="K101" s="111">
        <f t="shared" ref="K101" si="62">1*$E$51</f>
        <v>1</v>
      </c>
      <c r="L101" s="111">
        <f t="shared" si="0"/>
        <v>1</v>
      </c>
      <c r="M101" s="111"/>
      <c r="N101" s="111"/>
      <c r="O101" s="111"/>
      <c r="P101" s="130" cm="1">
        <f t="array" ref="P101" xml:space="preserve">  SUM( Tracking[Amount] * (Tracking[Type]=cc_type) * (YEAR(Tracking[Effective Date])=selected_year) * (MONTH(Tracking[Effective Date])=cc_month_number))</f>
        <v>0</v>
      </c>
      <c r="Q101" s="130" cm="1">
        <f t="array" aca="1" ref="Q101" ca="1">INDEX('Budget planning'!$E:$DY, expenses_total_row, MATCH(DATE(selected_year, cc_month_number, 1), 'Budget planning'!$E$10:$DY$10, 0) )</f>
        <v>1895</v>
      </c>
      <c r="R101" s="130">
        <f ca="1">cc_budget-cc_tracked</f>
        <v>1895</v>
      </c>
      <c r="S101">
        <f ca="1">cc_in_focus * cc_show_type * MIN(cc_tracked, cc_budget)</f>
        <v>0</v>
      </c>
      <c r="W101">
        <f ca="1">cc_in_focus * cc_show_type *cc_show_remaining_Budget * IF(cc_delta&gt;0, cc_delta, 0)</f>
        <v>1895</v>
      </c>
      <c r="X101" s="126">
        <f ca="1">cc_in_focus * cc_show_type *IF(cc_delta&lt;0, ABS(cc_delta), 0)</f>
        <v>0</v>
      </c>
      <c r="Y101">
        <f ca="1">NOT(cc_in_focus) * cc_show_type * MIN(cc_tracked, cc_budget)</f>
        <v>0</v>
      </c>
      <c r="AC101">
        <f ca="1">NOT(cc_in_focus) * cc_show_type *cc_show_remaining_Budget * IF(cc_delta&gt;0, cc_delta, 0)</f>
        <v>0</v>
      </c>
      <c r="AD101" s="126">
        <f ca="1">NOT(cc_in_focus) * cc_show_type *IF(cc_delta&lt;0, ABS(cc_delta), 0)</f>
        <v>0</v>
      </c>
    </row>
    <row r="102" spans="4:30" x14ac:dyDescent="0.3">
      <c r="D102" s="149"/>
      <c r="E102" s="111" t="s">
        <v>13</v>
      </c>
      <c r="F102" s="111"/>
      <c r="G102" s="111"/>
      <c r="H102" s="111"/>
      <c r="I102" s="111">
        <f t="shared" ref="I102" si="63">MONTH(D100)</f>
        <v>12</v>
      </c>
      <c r="J102" s="111">
        <f>IF(selected_period="Total Year", 1, IF(selected_period=cc_month_number, 1, 0))</f>
        <v>1</v>
      </c>
      <c r="K102" s="111">
        <f t="shared" ref="K102" si="64">1*$E$52</f>
        <v>1</v>
      </c>
      <c r="L102" s="111">
        <f t="shared" si="0"/>
        <v>1</v>
      </c>
      <c r="M102" s="111"/>
      <c r="N102" s="111"/>
      <c r="O102" s="111"/>
      <c r="P102" s="130" cm="1">
        <f t="array" ref="P102" xml:space="preserve">  SUM( Tracking[Amount] * (Tracking[Type]=cc_type) * (YEAR(Tracking[Effective Date])=selected_year) * (MONTH(Tracking[Effective Date])=cc_month_number))</f>
        <v>0</v>
      </c>
      <c r="Q102" s="130" cm="1">
        <f t="array" aca="1" ref="Q102" ca="1">INDEX('Budget planning'!$E:$DY, savings_total_row, MATCH(DATE(selected_year, cc_month_number, 1), 'Budget planning'!$E$10:$DY$10, 0) )</f>
        <v>500</v>
      </c>
      <c r="R102" s="130">
        <f ca="1">cc_budget-cc_tracked</f>
        <v>500</v>
      </c>
      <c r="S102">
        <f ca="1">cc_in_focus * cc_show_type * MIN(cc_tracked, cc_budget)</f>
        <v>0</v>
      </c>
      <c r="W102">
        <f ca="1">cc_in_focus * cc_show_type *cc_show_remaining_Budget * IF(cc_delta&gt;0, cc_delta, 0)</f>
        <v>500</v>
      </c>
      <c r="X102" s="126">
        <f ca="1">cc_in_focus * cc_show_type *IF(cc_delta&lt;0, ABS(cc_delta), 0)</f>
        <v>0</v>
      </c>
      <c r="Y102">
        <f ca="1">NOT(cc_in_focus) * cc_show_type * MIN(cc_tracked, cc_budget)</f>
        <v>0</v>
      </c>
      <c r="AC102">
        <f ca="1">NOT(cc_in_focus) * cc_show_type *cc_show_remaining_Budget * IF(cc_delta&gt;0, cc_delta, 0)</f>
        <v>0</v>
      </c>
      <c r="AD102" s="126">
        <f ca="1">NOT(cc_in_focus) * cc_show_type *IF(cc_delta&lt;0, ABS(cc_delta), 0)</f>
        <v>0</v>
      </c>
    </row>
    <row r="103" spans="4:30" x14ac:dyDescent="0.3">
      <c r="D103" s="150"/>
      <c r="E103" s="125"/>
      <c r="F103" s="125"/>
      <c r="G103" s="125"/>
      <c r="H103" s="125"/>
      <c r="I103" s="125"/>
      <c r="J103" s="125"/>
      <c r="K103" s="125"/>
      <c r="L103" s="125"/>
      <c r="M103" s="125"/>
      <c r="N103" s="125"/>
      <c r="O103" s="125"/>
      <c r="P103" s="127"/>
      <c r="Q103" s="127"/>
      <c r="R103" s="127"/>
      <c r="S103" s="127"/>
      <c r="T103" s="127"/>
      <c r="U103" s="127"/>
      <c r="V103" s="127"/>
      <c r="W103" s="127"/>
      <c r="X103" s="127"/>
      <c r="Y103" s="127"/>
      <c r="Z103" s="127"/>
      <c r="AA103" s="127"/>
      <c r="AB103" s="127"/>
      <c r="AC103" s="127"/>
      <c r="AD103" s="127"/>
    </row>
  </sheetData>
  <mergeCells count="16">
    <mergeCell ref="B4:G4"/>
    <mergeCell ref="C15:H15"/>
    <mergeCell ref="S54:X54"/>
    <mergeCell ref="Y54:AD54"/>
    <mergeCell ref="D56:D59"/>
    <mergeCell ref="D60:D63"/>
    <mergeCell ref="D64:D67"/>
    <mergeCell ref="D68:D71"/>
    <mergeCell ref="D72:D75"/>
    <mergeCell ref="D76:D79"/>
    <mergeCell ref="D100:D103"/>
    <mergeCell ref="D80:D83"/>
    <mergeCell ref="D84:D87"/>
    <mergeCell ref="D88:D91"/>
    <mergeCell ref="D92:D95"/>
    <mergeCell ref="D96:D99"/>
  </mergeCells>
  <phoneticPr fontId="44"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1C270-D887-48DE-8FF1-9208C1F6AFE5}">
  <dimension ref="A1:BR21"/>
  <sheetViews>
    <sheetView showGridLines="0" workbookViewId="0">
      <selection activeCell="B13" sqref="B13"/>
    </sheetView>
  </sheetViews>
  <sheetFormatPr defaultRowHeight="14.4" x14ac:dyDescent="0.3"/>
  <cols>
    <col min="3" max="3" width="16" customWidth="1"/>
    <col min="5" max="5" width="16.5546875" customWidth="1"/>
  </cols>
  <sheetData>
    <row r="1" spans="1:70" x14ac:dyDescent="0.3">
      <c r="A1" s="76"/>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c r="AV1" s="76"/>
      <c r="AW1" s="76"/>
      <c r="AX1" s="76"/>
      <c r="AY1" s="76"/>
      <c r="AZ1" s="76"/>
      <c r="BA1" s="76"/>
      <c r="BB1" s="76"/>
      <c r="BC1" s="76"/>
      <c r="BD1" s="76"/>
      <c r="BE1" s="76"/>
      <c r="BF1" s="76"/>
      <c r="BG1" s="76"/>
      <c r="BH1" s="76"/>
      <c r="BI1" s="76"/>
      <c r="BJ1" s="76"/>
      <c r="BK1" s="76"/>
      <c r="BL1" s="76"/>
      <c r="BM1" s="76"/>
      <c r="BN1" s="76"/>
      <c r="BO1" s="76"/>
      <c r="BP1" s="76"/>
      <c r="BQ1" s="76"/>
      <c r="BR1" s="76"/>
    </row>
    <row r="2" spans="1:70" ht="32.4" customHeight="1" x14ac:dyDescent="0.3">
      <c r="A2" s="77" t="s">
        <v>47</v>
      </c>
      <c r="B2" s="78"/>
      <c r="C2" s="79"/>
      <c r="D2" s="79"/>
      <c r="E2" s="79"/>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row>
    <row r="7" spans="1:70" x14ac:dyDescent="0.3">
      <c r="C7" s="63" t="s">
        <v>48</v>
      </c>
      <c r="E7" s="63" t="s">
        <v>50</v>
      </c>
    </row>
    <row r="8" spans="1:70" x14ac:dyDescent="0.3">
      <c r="C8" s="80" t="s">
        <v>49</v>
      </c>
      <c r="E8" s="82" t="s">
        <v>51</v>
      </c>
    </row>
    <row r="9" spans="1:70" x14ac:dyDescent="0.3">
      <c r="C9" s="80">
        <f>Starting_year</f>
        <v>2024</v>
      </c>
      <c r="E9" s="83" t="s">
        <v>52</v>
      </c>
    </row>
    <row r="10" spans="1:70" x14ac:dyDescent="0.3">
      <c r="C10" s="80">
        <f>C9+1</f>
        <v>2025</v>
      </c>
      <c r="E10" s="84">
        <v>36526</v>
      </c>
    </row>
    <row r="11" spans="1:70" x14ac:dyDescent="0.3">
      <c r="C11" s="80">
        <f t="shared" ref="C11:C18" si="0">C10+1</f>
        <v>2026</v>
      </c>
      <c r="E11" s="84">
        <v>36557</v>
      </c>
    </row>
    <row r="12" spans="1:70" x14ac:dyDescent="0.3">
      <c r="C12" s="80">
        <f t="shared" si="0"/>
        <v>2027</v>
      </c>
      <c r="E12" s="84">
        <v>36586</v>
      </c>
    </row>
    <row r="13" spans="1:70" x14ac:dyDescent="0.3">
      <c r="C13" s="80">
        <f t="shared" si="0"/>
        <v>2028</v>
      </c>
      <c r="E13" s="84">
        <v>36617</v>
      </c>
    </row>
    <row r="14" spans="1:70" x14ac:dyDescent="0.3">
      <c r="C14" s="80">
        <f t="shared" si="0"/>
        <v>2029</v>
      </c>
      <c r="E14" s="84">
        <v>36647</v>
      </c>
    </row>
    <row r="15" spans="1:70" x14ac:dyDescent="0.3">
      <c r="C15" s="80">
        <f t="shared" si="0"/>
        <v>2030</v>
      </c>
      <c r="E15" s="84">
        <v>36678</v>
      </c>
    </row>
    <row r="16" spans="1:70" x14ac:dyDescent="0.3">
      <c r="C16" s="80">
        <f t="shared" si="0"/>
        <v>2031</v>
      </c>
      <c r="E16" s="84">
        <v>36708</v>
      </c>
    </row>
    <row r="17" spans="3:5" x14ac:dyDescent="0.3">
      <c r="C17" s="80">
        <f t="shared" si="0"/>
        <v>2032</v>
      </c>
      <c r="E17" s="84">
        <v>36739</v>
      </c>
    </row>
    <row r="18" spans="3:5" x14ac:dyDescent="0.3">
      <c r="C18" s="81">
        <f t="shared" si="0"/>
        <v>2033</v>
      </c>
      <c r="E18" s="84">
        <v>36770</v>
      </c>
    </row>
    <row r="19" spans="3:5" x14ac:dyDescent="0.3">
      <c r="E19" s="84">
        <v>36800</v>
      </c>
    </row>
    <row r="20" spans="3:5" x14ac:dyDescent="0.3">
      <c r="E20" s="84">
        <v>36831</v>
      </c>
    </row>
    <row r="21" spans="3:5" x14ac:dyDescent="0.3">
      <c r="E21" s="84">
        <v>36861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42</vt:i4>
      </vt:variant>
    </vt:vector>
  </HeadingPairs>
  <TitlesOfParts>
    <vt:vector size="48" baseType="lpstr">
      <vt:lpstr>SETTING</vt:lpstr>
      <vt:lpstr>Budget planning</vt:lpstr>
      <vt:lpstr>Budget Tracking</vt:lpstr>
      <vt:lpstr>Budget Dashboard</vt:lpstr>
      <vt:lpstr>Calculations</vt:lpstr>
      <vt:lpstr>Dropdown Data</vt:lpstr>
      <vt:lpstr>'Budget Dashboard'!_is_empty</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vt:lpstr>
      <vt:lpstr>Calculations!cc_type</vt:lpstr>
      <vt:lpstr>'Budget Dashboard'!comb_rank</vt:lpstr>
      <vt:lpstr>'Budget Dashboard'!comb_rank_norm</vt:lpstr>
      <vt:lpstr>'Budget Dashboard'!comb_rank_range</vt:lpstr>
      <vt:lpstr>'Budget Dashboard'!comb_rank_run_range</vt:lpstr>
      <vt:lpstr>'Budget Dashboard'!comb_rank_unique</vt:lpstr>
      <vt:lpstr>'Budget Dashboard'!header_row_id</vt:lpstr>
      <vt:lpstr>'Budget Dashboard'!is_cat</vt:lpstr>
      <vt:lpstr>'Budget Dashboard'!is_header</vt:lpstr>
      <vt:lpstr>'Budget Dashboard'!is_total</vt:lpstr>
      <vt:lpstr>'Budget Dashboard'!item</vt:lpstr>
      <vt:lpstr>'Budget Dashboard'!out_budget</vt:lpstr>
      <vt:lpstr>'Budget Dashboard'!out_percentage_completed</vt:lpstr>
      <vt:lpstr>'Budget Dashboard'!out_tracked</vt:lpstr>
      <vt:lpstr>'Budget Dashboard'!row_id</vt:lpstr>
      <vt:lpstr>Savings_rate_calculation_type</vt:lpstr>
      <vt:lpstr>selected_period</vt:lpstr>
      <vt:lpstr>selected_period_display</vt:lpstr>
      <vt:lpstr>selected_year</vt:lpstr>
      <vt:lpstr>shift_late_income_day</vt:lpstr>
      <vt:lpstr>Shift_late_income_starting_date</vt:lpstr>
      <vt:lpstr>Shift_late_income_starting_day</vt:lpstr>
      <vt:lpstr>Shift_late_income_status</vt:lpstr>
      <vt:lpstr>Shift_name_income_status</vt:lpstr>
      <vt:lpstr>'Budget Dashboard'!sort_max_row</vt:lpstr>
      <vt:lpstr>'Budget Dashboard'!sort_min_row</vt:lpstr>
      <vt:lpstr>Starting_year</vt:lpstr>
      <vt:lpstr>'Budget Dashboard'!tracked</vt:lpstr>
      <vt:lpstr>'Budget Dashboard'!tracked_range</vt:lpstr>
      <vt:lpstr>'Budget Dashboard'!tracked_rank</vt:lpstr>
      <vt:lpstr>'Budget Dashboard'!type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Ruchith kapoor</dc:creator>
  <cp:lastModifiedBy>Ruchith kapoor</cp:lastModifiedBy>
  <dcterms:created xsi:type="dcterms:W3CDTF">2024-03-05T03:01:27Z</dcterms:created>
  <dcterms:modified xsi:type="dcterms:W3CDTF">2024-10-03T17:10:47Z</dcterms:modified>
</cp:coreProperties>
</file>